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8_{4309911B-8715-4DF1-8A4D-891280D1991E}" xr6:coauthVersionLast="47" xr6:coauthVersionMax="47" xr10:uidLastSave="{00000000-0000-0000-0000-000000000000}"/>
  <bookViews>
    <workbookView xWindow="-108" yWindow="-108" windowWidth="23256" windowHeight="12456" tabRatio="500" firstSheet="4" activeTab="7" xr2:uid="{00000000-000D-0000-FFFF-FFFF00000000}"/>
  </bookViews>
  <sheets>
    <sheet name="LISTEN" sheetId="1" r:id="rId1"/>
    <sheet name="Tabelle_zu_Bloom" sheetId="2" r:id="rId2"/>
    <sheet name="BloomBezug" sheetId="3" r:id="rId3"/>
    <sheet name="ErpenbeckBezug" sheetId="4" r:id="rId4"/>
    <sheet name="Bloom&amp;Erpenbeck" sheetId="5" r:id="rId5"/>
    <sheet name="LF_Morphologie" sheetId="6" r:id="rId6"/>
    <sheet name="D1_Geschäftsmodell" sheetId="7" r:id="rId7"/>
    <sheet name="D2_Ziel&amp;Zweck" sheetId="8" r:id="rId8"/>
    <sheet name="D3_Prozess" sheetId="9" r:id="rId9"/>
    <sheet name="D4_Setting" sheetId="10" r:id="rId10"/>
    <sheet name="D5_Produkt" sheetId="11" r:id="rId11"/>
    <sheet name="D6_Didaktik" sheetId="12" r:id="rId12"/>
    <sheet name="D7_Metriken" sheetId="13" r:id="rId13"/>
    <sheet name="D8_Forschung" sheetId="14" r:id="rId14"/>
    <sheet name="FrameworkEntwurf_01" sheetId="15" r:id="rId15"/>
    <sheet name="Modulbewertung" sheetId="16" r:id="rId16"/>
    <sheet name="Modulsteckbrief" sheetId="17" r:id="rId17"/>
    <sheet name="01 RecycleBot – Innovationspote" sheetId="18" r:id="rId18"/>
    <sheet name="02 Scan Your Trash – Image Reco" sheetId="19" r:id="rId19"/>
    <sheet name="03 RecycleBot Labor – YOLO-Trai" sheetId="20" r:id="rId20"/>
    <sheet name="04 Let’s Play with Robots – Ein" sheetId="21" r:id="rId21"/>
    <sheet name="05 Robotik-Anwendungen Lego-Sor" sheetId="22" r:id="rId22"/>
    <sheet name="06 Demo-Fabrik Feldmann – KI-ge" sheetId="23" r:id="rId23"/>
    <sheet name="07 Intelligente Assistenzsystem" sheetId="24" r:id="rId24"/>
    <sheet name="08 Advanced Pick-and-Place &amp; Re" sheetId="25" r:id="rId25"/>
    <sheet name="09 Industrie 4.0 Lernfabrik – V" sheetId="26" r:id="rId26"/>
    <sheet name="10 Factory Supervision &amp; KI-Coc" sheetId="27" r:id="rId27"/>
    <sheet name="11 Data Analytics &amp; Visualisier" sheetId="28" r:id="rId28"/>
    <sheet name="12 Python Basics für Produktion" sheetId="29" r:id="rId29"/>
    <sheet name="13 Sensorik &amp; Messtechnik mit d" sheetId="30" r:id="rId30"/>
    <sheet name="14 EMA &amp; Ergonomie in Montage u" sheetId="31" r:id="rId31"/>
    <sheet name="15 ARVR Basics für Industrieanw" sheetId="32" r:id="rId32"/>
    <sheet name="16 Unity &amp; Blender für digitale" sheetId="33" r:id="rId33"/>
    <sheet name="17 Human-Robot Interaction &amp; Co" sheetId="34" r:id="rId34"/>
    <sheet name="18 Mobile Robotik &amp; AMR-Integra" sheetId="35" r:id="rId35"/>
    <sheet name="19 Humanoid Robot – Machine Ten" sheetId="36" r:id="rId36"/>
    <sheet name="20 Systems Engineering für Manu" sheetId="37" r:id="rId37"/>
    <sheet name="21 Context Inquiry &amp; Problem Po" sheetId="38" r:id="rId38"/>
    <sheet name="22 Digitale Assistenzsysteme &amp; " sheetId="39" r:id="rId39"/>
    <sheet name="23 Remanufacturing-Strategie &amp; " sheetId="40" r:id="rId40"/>
    <sheet name="24 Demontage-Workshop nach iFix" sheetId="41" r:id="rId41"/>
    <sheet name="25 VR-Trainings Montage- und Sc" sheetId="42" r:id="rId42"/>
  </sheets>
  <definedNames>
    <definedName name="_xlnm._FilterDatabase" localSheetId="14" hidden="1">FrameworkEntwurf_01!$E$1:$E$101</definedName>
    <definedName name="ExterneDaten_1" localSheetId="1" hidden="1">Tabelle_zu_Bloom!$A$1:$A$7</definedName>
    <definedName name="RelevanzListe">LISTEN!$A$2:$A$6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3" i="16" l="1"/>
  <c r="E52" i="16"/>
  <c r="E51" i="16"/>
  <c r="E50" i="16"/>
  <c r="E49" i="16"/>
  <c r="E48" i="16"/>
  <c r="E47" i="16"/>
  <c r="E46" i="16"/>
  <c r="E45" i="16"/>
  <c r="E44" i="16"/>
  <c r="E43" i="16"/>
  <c r="E42" i="16"/>
  <c r="E38" i="16"/>
  <c r="E37" i="16"/>
  <c r="E36" i="16"/>
  <c r="E35" i="16"/>
  <c r="E39" i="16" s="1"/>
  <c r="E34" i="16"/>
  <c r="E33" i="16"/>
  <c r="E32" i="16"/>
  <c r="E31" i="16"/>
  <c r="E27" i="16"/>
  <c r="E26" i="16"/>
  <c r="E25" i="16"/>
  <c r="E24" i="16"/>
  <c r="E23" i="16"/>
  <c r="E22" i="16"/>
  <c r="E21" i="16"/>
  <c r="E20" i="16"/>
  <c r="E19" i="16"/>
  <c r="E18" i="16"/>
  <c r="E17" i="16"/>
  <c r="E28" i="16" s="1"/>
  <c r="E16" i="16"/>
  <c r="E15" i="16"/>
  <c r="E11" i="16"/>
  <c r="E10" i="16"/>
  <c r="E9" i="16"/>
  <c r="E8" i="16"/>
  <c r="E55" i="16" s="1"/>
  <c r="E12" i="16" l="1"/>
</calcChain>
</file>

<file path=xl/sharedStrings.xml><?xml version="1.0" encoding="utf-8"?>
<sst xmlns="http://schemas.openxmlformats.org/spreadsheetml/2006/main" count="4000" uniqueCount="1574">
  <si>
    <t>Relevanz-Schwerpunkt</t>
  </si>
  <si>
    <t>Relevant_Remanufacturing</t>
  </si>
  <si>
    <t>Relevant_Didaktik</t>
  </si>
  <si>
    <t>Relevant_Wirtschaftlichkeit</t>
  </si>
  <si>
    <t>Relevanz_Allgemein</t>
  </si>
  <si>
    <t>keine Relevanz für MA</t>
  </si>
  <si>
    <t>Zielgruppe</t>
  </si>
  <si>
    <t>Schüler:innen</t>
  </si>
  <si>
    <t>Bachelor</t>
  </si>
  <si>
    <t>Master</t>
  </si>
  <si>
    <t>Promovierende</t>
  </si>
  <si>
    <t>AuszubildendeFachkräfte</t>
  </si>
  <si>
    <t>Führungskräfte</t>
  </si>
  <si>
    <t>Unternehmer:innen</t>
  </si>
  <si>
    <t>Freiberufler:innen</t>
  </si>
  <si>
    <t>Gewerkschaft</t>
  </si>
  <si>
    <t>Öffentlichkeit</t>
  </si>
  <si>
    <t>Fachbezogene Lerninhalte</t>
  </si>
  <si>
    <t>LeanManagement</t>
  </si>
  <si>
    <t>Energie-&amp;Ressourceneffizienz</t>
  </si>
  <si>
    <t>IndustrialEngineering</t>
  </si>
  <si>
    <t>GlobalProduction</t>
  </si>
  <si>
    <t>Industrie4.0</t>
  </si>
  <si>
    <t>Industrie5.0</t>
  </si>
  <si>
    <t>Produktentstehungsprozess</t>
  </si>
  <si>
    <t>Kreislaufwirtschaft</t>
  </si>
  <si>
    <t>Nachhaltigkeit</t>
  </si>
  <si>
    <t>BusinessEngineering</t>
  </si>
  <si>
    <t xml:space="preserve"> Künstliche Intelligenz </t>
  </si>
  <si>
    <t xml:space="preserve"> Objekterkennung </t>
  </si>
  <si>
    <t xml:space="preserve"> Ingenieurausbildung </t>
  </si>
  <si>
    <t xml:space="preserve"> Digital Twin </t>
  </si>
  <si>
    <t xml:space="preserve"> Fabrikplanung </t>
  </si>
  <si>
    <t xml:space="preserve"> Additive Fertigung</t>
  </si>
  <si>
    <t>Teilnehmerkonstellation</t>
  </si>
  <si>
    <t>homogen</t>
  </si>
  <si>
    <t>heterogen–Wissen</t>
  </si>
  <si>
    <t>heterogen–Hierarchie</t>
  </si>
  <si>
    <t>heterogen–gemischteZielgruppen</t>
  </si>
  <si>
    <t>Hauptzweck</t>
  </si>
  <si>
    <t>Hochschulbildung</t>
  </si>
  <si>
    <t>beruflicheAus-/Weiterbildung</t>
  </si>
  <si>
    <t>Forschung </t>
  </si>
  <si>
    <t>Weichensteller der Wandlungsfähigkeit</t>
  </si>
  <si>
    <t>Mobilität</t>
  </si>
  <si>
    <t>Modularität</t>
  </si>
  <si>
    <t>Kompatibilität</t>
  </si>
  <si>
    <t>Skalierbarkeit</t>
  </si>
  <si>
    <t>Universalität</t>
  </si>
  <si>
    <t>Kompetenzklasse</t>
  </si>
  <si>
    <t>fachlich-methodischeKompetenzen</t>
  </si>
  <si>
    <t>sozial-kommunikativeKompetenzen</t>
  </si>
  <si>
    <t>personaleKompetenzen</t>
  </si>
  <si>
    <t>aktivitätsorientierteKompetenzen</t>
  </si>
  <si>
    <t>Lernszenario</t>
  </si>
  <si>
    <t>Instruktion</t>
  </si>
  <si>
    <t>Demonstration</t>
  </si>
  <si>
    <t>geschlossenesSzenario</t>
  </si>
  <si>
    <t>offenesSzenario</t>
  </si>
  <si>
    <t>Autonomiegrad</t>
  </si>
  <si>
    <t>angeleitet(instructed)</t>
  </si>
  <si>
    <t>selbstgesteuert/selbstreguliert</t>
  </si>
  <si>
    <t>selbstbestimmt/selbstorganisiert</t>
  </si>
  <si>
    <t>Trainerrolle</t>
  </si>
  <si>
    <t>Präsentator:in</t>
  </si>
  <si>
    <t>Moderator:in</t>
  </si>
  <si>
    <t>Coach</t>
  </si>
  <si>
    <t>Instrukteur:in</t>
  </si>
  <si>
    <t>Lernaktivitätsart</t>
  </si>
  <si>
    <t>Tutorial</t>
  </si>
  <si>
    <t>praktischerLaborkurs</t>
  </si>
  <si>
    <t>Seminar</t>
  </si>
  <si>
    <t>Workshop</t>
  </si>
  <si>
    <t>Projektarbeit</t>
  </si>
  <si>
    <t>FlippedClassroom</t>
  </si>
  <si>
    <t>Business-Szenario(z.B.Produktlebenszyklus)</t>
  </si>
  <si>
    <t>Standardisierung_Trainer</t>
  </si>
  <si>
    <t>standardisierteLernmodule</t>
  </si>
  <si>
    <t>individualisierteLernmodule</t>
  </si>
  <si>
    <t>modulareLernmodule</t>
  </si>
  <si>
    <t>Evaluationsebenen</t>
  </si>
  <si>
    <t>Teilnehmerfeedback</t>
  </si>
  <si>
    <t>Kompetenzmessung</t>
  </si>
  <si>
    <t>TransferinrealeFabrik</t>
  </si>
  <si>
    <t>ökonomischeWirkungdesTrainings</t>
  </si>
  <si>
    <t>ReturnonTraining</t>
  </si>
  <si>
    <t>Evaluationsmethoden</t>
  </si>
  <si>
    <t>Wissenstest–schriftlich</t>
  </si>
  <si>
    <t>Wissenstest–mündlich</t>
  </si>
  <si>
    <t>schriftlicherBericht</t>
  </si>
  <si>
    <t>mündlichePräsentation</t>
  </si>
  <si>
    <t>praktischePrüfung</t>
  </si>
  <si>
    <t>360-Grad-Assessment</t>
  </si>
  <si>
    <t>keine</t>
  </si>
  <si>
    <t>Personalisierungsgrad</t>
  </si>
  <si>
    <t>Teilnehmerpersonalisierung</t>
  </si>
  <si>
    <t>Gruppenpersonalisierung</t>
  </si>
  <si>
    <t>Abgebildete Produktlebenszyklusphase</t>
  </si>
  <si>
    <t>Produktplanung</t>
  </si>
  <si>
    <t>Produktentwicklung</t>
  </si>
  <si>
    <t>Produktdesign</t>
  </si>
  <si>
    <t>RapidPrototyping</t>
  </si>
  <si>
    <t>Fertigung</t>
  </si>
  <si>
    <t>Montage</t>
  </si>
  <si>
    <t>Logistik</t>
  </si>
  <si>
    <t>Service</t>
  </si>
  <si>
    <t>Recycling/Remanufacturing</t>
  </si>
  <si>
    <t>Prozesstyp</t>
  </si>
  <si>
    <t>Massenproduktion</t>
  </si>
  <si>
    <t>Serienproduktion</t>
  </si>
  <si>
    <t>Kleinserienproduktion</t>
  </si>
  <si>
    <t>Einzelfertigung</t>
  </si>
  <si>
    <t>Prozessautomatisierung</t>
  </si>
  <si>
    <t>Baustellenfertigung</t>
  </si>
  <si>
    <t>Werkbankfertigung</t>
  </si>
  <si>
    <t>Werkstattfertigung</t>
  </si>
  <si>
    <t>Fließfertigung</t>
  </si>
  <si>
    <t>wandelbareFertigungsprinzipien</t>
  </si>
  <si>
    <t xml:space="preserve"> Lernumgebung</t>
  </si>
  <si>
    <t>reinphysisch(Planung+Ausführung)</t>
  </si>
  <si>
    <t>physischeLF,digitalunterstützt(Linie'IT-Integration')</t>
  </si>
  <si>
    <t>physischerWertstromvirtuellerweitert</t>
  </si>
  <si>
    <t>reinvirtuell(Planung+Ausführung)</t>
  </si>
  <si>
    <t>Integrierte digitale Technologien</t>
  </si>
  <si>
    <t>Datenerfassung</t>
  </si>
  <si>
    <t>Rückverfolgbarkeit</t>
  </si>
  <si>
    <t>Datenverarbeitung(z.B.KI)</t>
  </si>
  <si>
    <t>Assistenzsysteme</t>
  </si>
  <si>
    <t>digitaleFertigung</t>
  </si>
  <si>
    <t>Simulation</t>
  </si>
  <si>
    <t>Datenmanagement&amp;Visualisierung</t>
  </si>
  <si>
    <t>Automatisierungstechnik</t>
  </si>
  <si>
    <t>Cybersecurity</t>
  </si>
  <si>
    <t>Netzwerktechnologien</t>
  </si>
  <si>
    <t>Materialität</t>
  </si>
  <si>
    <t>materiell(physischesProdukt)</t>
  </si>
  <si>
    <t>immateriell(Dienstleistung)</t>
  </si>
  <si>
    <t>digital(Daten,Software)</t>
  </si>
  <si>
    <t>Variantenanzahl</t>
  </si>
  <si>
    <t>1Variante</t>
  </si>
  <si>
    <t>2-4Varianten</t>
  </si>
  <si>
    <t>5-20Varianten</t>
  </si>
  <si>
    <t>&gt;20Varianten</t>
  </si>
  <si>
    <t>flexibel,jenachTeilnehmenden</t>
  </si>
  <si>
    <t>durchrealeAufträgebestimmt</t>
  </si>
  <si>
    <t>konfigurierbar</t>
  </si>
  <si>
    <t>Weitere Produktverwendung</t>
  </si>
  <si>
    <t>Wiederverwendung/Recycling</t>
  </si>
  <si>
    <t>Ausstellung/Display</t>
  </si>
  <si>
    <t>Give-away</t>
  </si>
  <si>
    <t>Verkauf</t>
  </si>
  <si>
    <t>Entsorgung</t>
  </si>
  <si>
    <t>Betreiber</t>
  </si>
  <si>
    <t xml:space="preserve">akademische Einrichtung  </t>
  </si>
  <si>
    <t xml:space="preserve">  nicht-akademische Einrichtung  </t>
  </si>
  <si>
    <t xml:space="preserve">  gewinnorientierter Betreiber </t>
  </si>
  <si>
    <t xml:space="preserve">  Non-Profit-Organisation</t>
  </si>
  <si>
    <t>Anschubfinanzierung</t>
  </si>
  <si>
    <t xml:space="preserve">interne Mittel </t>
  </si>
  <si>
    <t xml:space="preserve"> externe Mittel – öffentliche Mittel </t>
  </si>
  <si>
    <t xml:space="preserve"> externe Mittel – Unternehmensmittel </t>
  </si>
  <si>
    <t xml:space="preserve"> externe Mittel – Mittel von Verbänden</t>
  </si>
  <si>
    <t>Laufende Finanzierung</t>
  </si>
  <si>
    <t xml:space="preserve"> externe Mittel – Industriemittel </t>
  </si>
  <si>
    <t xml:space="preserve"> externe Mittel – Mittel von Verbänden </t>
  </si>
  <si>
    <t xml:space="preserve"> Mittel aus Produktverkauf</t>
  </si>
  <si>
    <t>Trainingsmodelle</t>
  </si>
  <si>
    <t xml:space="preserve">offene Modelle – Club-Modell </t>
  </si>
  <si>
    <t xml:space="preserve"> offene Modelle – Kursgebühren </t>
  </si>
  <si>
    <t xml:space="preserve"> geschlossene Modelle</t>
  </si>
  <si>
    <t>Schlüsselpartnerschaften</t>
  </si>
  <si>
    <t xml:space="preserve">Hochschulen </t>
  </si>
  <si>
    <t xml:space="preserve"> Hersteller </t>
  </si>
  <si>
    <t xml:space="preserve"> Beratungen </t>
  </si>
  <si>
    <t xml:space="preserve"> Industrie </t>
  </si>
  <si>
    <t xml:space="preserve"> Inkubatoren </t>
  </si>
  <si>
    <t xml:space="preserve"> Dienstleistungsorganisationen </t>
  </si>
  <si>
    <t xml:space="preserve"> NGO</t>
  </si>
  <si>
    <t>Teilnehmende pro Lernmodul</t>
  </si>
  <si>
    <t>1-5</t>
  </si>
  <si>
    <t xml:space="preserve"> 6-10 </t>
  </si>
  <si>
    <t xml:space="preserve"> 10-15 </t>
  </si>
  <si>
    <t xml:space="preserve"> 16-20 </t>
  </si>
  <si>
    <t xml:space="preserve"> &gt;20</t>
  </si>
  <si>
    <t>Anzahl standardisierter Lernmodule</t>
  </si>
  <si>
    <t xml:space="preserve"> 2-4 </t>
  </si>
  <si>
    <t xml:space="preserve"> 5-10 </t>
  </si>
  <si>
    <t xml:space="preserve"> &gt;10 </t>
  </si>
  <si>
    <t xml:space="preserve"> modularisiert</t>
  </si>
  <si>
    <t>Anzahl integrierter Lernmodule</t>
  </si>
  <si>
    <t xml:space="preserve">Undergraduate: 1 </t>
  </si>
  <si>
    <t xml:space="preserve"> Undergraduate: 2-4 </t>
  </si>
  <si>
    <t xml:space="preserve"> Undergraduate: 5-10 </t>
  </si>
  <si>
    <t xml:space="preserve"> Undergraduate: &gt;10 </t>
  </si>
  <si>
    <t xml:space="preserve"> Undergraduate: modularisiert </t>
  </si>
  <si>
    <t xml:space="preserve"> Graduate: 1 </t>
  </si>
  <si>
    <t xml:space="preserve"> Graduate: 2-4 </t>
  </si>
  <si>
    <t xml:space="preserve"> Graduate: 5-10 </t>
  </si>
  <si>
    <t xml:space="preserve"> Graduate: &gt;10 </t>
  </si>
  <si>
    <t xml:space="preserve"> Graduate: modularisiert</t>
  </si>
  <si>
    <t>Durchschnittsdauer Lernmodul</t>
  </si>
  <si>
    <t xml:space="preserve">≤ 0,5 Tag </t>
  </si>
  <si>
    <t xml:space="preserve"> 0,5 – 1 Tag </t>
  </si>
  <si>
    <t xml:space="preserve"> 1 – 2 Tage </t>
  </si>
  <si>
    <t xml:space="preserve"> 2 – 5 Tage </t>
  </si>
  <si>
    <t xml:space="preserve"> 5 – 10 Tage </t>
  </si>
  <si>
    <t xml:space="preserve"> 10 – 20 Tage </t>
  </si>
  <si>
    <t xml:space="preserve"> &gt; 20 Tage</t>
  </si>
  <si>
    <t xml:space="preserve">Einrichtungskosten </t>
  </si>
  <si>
    <t xml:space="preserve">&lt; 10.000 € </t>
  </si>
  <si>
    <t xml:space="preserve"> 10.000 – 100.000 € </t>
  </si>
  <si>
    <t xml:space="preserve"> 100.000 € – 1 Mio. € </t>
  </si>
  <si>
    <t xml:space="preserve"> &gt; 1 Mio. </t>
  </si>
  <si>
    <t>Betriebskosten</t>
  </si>
  <si>
    <t>Spalte1</t>
  </si>
  <si>
    <t>1. Erinnern</t>
  </si>
  <si>
    <t>2. Verstehen</t>
  </si>
  <si>
    <t>3. Anwenden</t>
  </si>
  <si>
    <t>4. Analysieren</t>
  </si>
  <si>
    <t>5. Bewerten</t>
  </si>
  <si>
    <t>6. Erschaffen</t>
  </si>
  <si>
    <t>Revidierte Bloom-Taxonomie (Anderson &amp; Krathwohl 2001) – Taxonomietabelle</t>
  </si>
  <si>
    <t>Zweidimensionales Raster: Wissensdimension (Zeilen) × kognitive Prozessdimension (Stufen, Spalten). Jede Zelle nennt ein typisches handlungsorientiertes Verb zur Lernzielformulierung. Verfeinert Morphologie-Element 6.2 (kognitive Lernzieldimension) und dient als Formulierungshilfe für Feinlernziele im Modulsteckbrief.</t>
  </si>
  <si>
    <t>Wissensdimension \ Prozessstufe</t>
  </si>
  <si>
    <t>Kognitive Prozessstufen (Definition)</t>
  </si>
  <si>
    <t>A. Faktenwissen
(Terminologie, Details)</t>
  </si>
  <si>
    <t>auflisten</t>
  </si>
  <si>
    <t>zusammenfassen</t>
  </si>
  <si>
    <t>klassifizieren</t>
  </si>
  <si>
    <t>ordnen</t>
  </si>
  <si>
    <t>bewerten/rangieren</t>
  </si>
  <si>
    <t>kombinieren</t>
  </si>
  <si>
    <t>Relevantes Wissen aus dem Langzeitgedächtnis abrufen (Wiedererkennen, Abrufen).</t>
  </si>
  <si>
    <t>B. Konzeptuelles Wissen
(Zusammenhänge, Prinzipien, Modelle)</t>
  </si>
  <si>
    <t>beschreiben</t>
  </si>
  <si>
    <t>interpretieren</t>
  </si>
  <si>
    <t>experimentieren</t>
  </si>
  <si>
    <t>erklären/unterscheiden</t>
  </si>
  <si>
    <t>beurteilen</t>
  </si>
  <si>
    <t>planen</t>
  </si>
  <si>
    <t>Bedeutung erschließen: interpretieren, exemplifizieren, klassifizieren, zusammenfassen, schlussfolgern, vergleichen, erklären.</t>
  </si>
  <si>
    <t>C. Prozedurales Wissen
(Methoden, Techniken, Kriterien)</t>
  </si>
  <si>
    <t>tabellieren</t>
  </si>
  <si>
    <t>vorhersagen</t>
  </si>
  <si>
    <t>berechnen/durchführen</t>
  </si>
  <si>
    <t>differenzieren</t>
  </si>
  <si>
    <t>schlussfolgern</t>
  </si>
  <si>
    <t>konstruieren</t>
  </si>
  <si>
    <t>Verfahren in einer gegebenen Situation ausführen oder umsetzen.</t>
  </si>
  <si>
    <t>D. Metakognitives Wissen
(Strategie-, Selbstwissen)</t>
  </si>
  <si>
    <t>angemessen nutzen</t>
  </si>
  <si>
    <t>ausführen</t>
  </si>
  <si>
    <t>umsetzen</t>
  </si>
  <si>
    <t>erreichen</t>
  </si>
  <si>
    <t>reflektieren/handeln</t>
  </si>
  <si>
    <t>aktualisieren/neu gestalten</t>
  </si>
  <si>
    <t>Material in Bestandteile zerlegen und Beziehungen erkennen: differenzieren, organisieren, zuordnen.</t>
  </si>
  <si>
    <t>Urteile anhand von Kriterien und Standards fällen: prüfen, kritisieren.</t>
  </si>
  <si>
    <t>Elemente zu einem neuen, kohärenten Ganzen zusammenfügen: generieren, planen, produzieren.</t>
  </si>
  <si>
    <t>Quelle: Anderson, L. W. &amp; Krathwohl, D. R. (Hrsg., 2001); Krathwohl, D. R. (2002): A Revision of Bloom's Taxonomy – An Overview. Theory Into Practice 41(4). Verben exemplarisch (u. a. nach Oregon State University).</t>
  </si>
  <si>
    <t>Brücke: Abele Dimension 6 (Didaktik) &lt;--&gt; Kompetenzmodell Erpenbeck</t>
  </si>
  <si>
    <t>Abeles Kompetenzklassen (Element 6.1) entsprechen direkt den vier Basiskompetenzen nach Roth (1971), Erpenbeck &amp; Heyse (2007). Konzeptionelle Verknüpfung für die didaktische Begründung des Frameworks.</t>
  </si>
  <si>
    <t>Kürzel</t>
  </si>
  <si>
    <t>Abele (Dim. 6.1)</t>
  </si>
  <si>
    <t>Erpenbeck-Basiskompetenz</t>
  </si>
  <si>
    <t>Definition nach Erpenbeck &amp; Heyse (2007)</t>
  </si>
  <si>
    <t>F</t>
  </si>
  <si>
    <t>fachlich-methodische Kompetenzen</t>
  </si>
  <si>
    <t>F - Fachlich-methodische Kompetenzen</t>
  </si>
  <si>
    <t>Dispositionen, sachlich-gegenständliche Probleme geistig und physisch selbstorganisiert zu lösen – mit fachlichen/instrumentellen Kenntnissen kreativ Probleme lösen, Wissen sinnorientiert einordnen, Methoden selbst weiterentwickeln.</t>
  </si>
  <si>
    <t>S</t>
  </si>
  <si>
    <t>sozial-kommunikative Kompetenzen</t>
  </si>
  <si>
    <t>S _ Sozial-kommunikative Kompetenzen</t>
  </si>
  <si>
    <t>Dispositionen, kommunikativ und kooperativ selbstorganisiert zu handeln – sich mit anderen kreativ auseinander- und zusammenzusetzen, gruppen- und beziehungsorientiert zu handeln, neue Ziele zu entwickeln.</t>
  </si>
  <si>
    <t>P</t>
  </si>
  <si>
    <t>personale Kompetenzen</t>
  </si>
  <si>
    <t>P _ Personale Kompetenzen</t>
  </si>
  <si>
    <t>Dispositionen, reflexiv selbstorganisiert zu handeln – sich selbst einzuschätzen, produktive Einstellungen, Werthaltungen, Motive und Selbstbilder zu entwickeln und sich kreativ weiterzuentwickeln.</t>
  </si>
  <si>
    <t>A</t>
  </si>
  <si>
    <t>aktivitätsorientierte Kompetenzen</t>
  </si>
  <si>
    <t>A _ Aktivitäts- und umsetzungsorientierte Kompetenzen</t>
  </si>
  <si>
    <t>Dispositionen, aktiv und ganzheitlich selbstorganisiert zu handeln und auf die Umsetzung von Absichten/Plänen zu richten – integriert alle anderen Kompetenzen (P, F, S) in die eigenen Willensantriebe.</t>
  </si>
  <si>
    <t>Hinweis: Erpenbeck fasst Kompetenzen als Selbstorganisationsdispositionen (Abgrenzung zur Qualifikation). Offene Lernszenarien (6.3), hohe Lernautonomie (6.6) und Coaching-Rollen (6.7) fördern damit gezielt den Kompetenzaufbau – im Remanufacturing-Kontext der Umgang mit variablen, unsicheren Ausgangszuständen. Quelle: Erpenbeck &amp; von Rosenstiel (Hrsg., 2007); Erpenbeck &amp; Heyse (2007).</t>
  </si>
  <si>
    <t>Kreuzmatrix: Bloom-Prozessstufen × Erpenbeck-Kompetenzklassen</t>
  </si>
  <si>
    <t>Konzeptionelle Verzahnung beider Modelle: Bloom beschreibt die kognitive Tiefe eines Lernziels (vertikal), Erpenbeck die adressierte Kompetenzart (horizontal, F/S/P/A). Die Zellen zeigen, welche Kompetenzklasse eine kognitive Stufe typischerweise primär bedient – Grundlage für die Progression der Lernpfade im Remanufacturing.</t>
  </si>
  <si>
    <t>Legende:  X = primär adressiert   |   (x) = sekundär adressiert   |   leer = kaum Bezug</t>
  </si>
  <si>
    <t>Bloom-Prozessstufe</t>
  </si>
  <si>
    <t>F
fachl.-method.</t>
  </si>
  <si>
    <t>S
sozial-komm.</t>
  </si>
  <si>
    <t>P
personal</t>
  </si>
  <si>
    <t>A
aktivitätsorient.</t>
  </si>
  <si>
    <t>X</t>
  </si>
  <si>
    <t>(x)</t>
  </si>
  <si>
    <t>Beispiel Remanufacturing: Eine begründete Reman-Entscheidung treffen verbindet die kognitive Stufe '5. Bewerten' mit personaler (P) und aktivitätsorientierter (A) Kompetenz; die anschließende zerstörungsfreie Demontage adressiert '3. Anwenden' (prozedurales Wissen) und ebenfalls A. Die Zuordnung ist als didaktische Orientierung zu verstehen, nicht als starre Festlegung.</t>
  </si>
  <si>
    <t>Learning-Factory-Morphologie nach Abele et al. (2024)</t>
  </si>
  <si>
    <t>Legende Relevanz:    hoch = Kern des Frameworks   |   mittel = Gestaltungskontext   |   Kontext = nachrangig / vorgegeben</t>
  </si>
  <si>
    <t>Nr.</t>
  </si>
  <si>
    <t>Dimension</t>
  </si>
  <si>
    <t>Inhaltlicher Fokus</t>
  </si>
  <si>
    <t>Blatt</t>
  </si>
  <si>
    <t>Dimension 1 – Betriebs- und Geschäftsmodell</t>
  </si>
  <si>
    <t>Betreiber, Finanzierung, Trägerschaft und Geschäftsmodelle der Lernfabrik.</t>
  </si>
  <si>
    <t>D1 Geschäftsmodell</t>
  </si>
  <si>
    <t>Dimension 2 – Ziele und Zweck</t>
  </si>
  <si>
    <t>Haupt- und Nebenzwecke, Zielgruppen, Branchen sowie inhaltliche Lernschwerpunkte.</t>
  </si>
  <si>
    <t>D2 Ziele &amp; Zweck</t>
  </si>
  <si>
    <t>Dimension 3 – Prozess</t>
  </si>
  <si>
    <t>Abgebildete Produktionsprozesse, Lebenszyklen, Automatisierungsgrad und Fertigungsverfahren.</t>
  </si>
  <si>
    <t>D3 Prozess</t>
  </si>
  <si>
    <t>Dimension 4 – Setting</t>
  </si>
  <si>
    <t>Eigenschaften der Lernumgebung: physisch/virtuell, Skalierung, Wandlungsfähigkeit, IT &amp; Assistenzsysteme.</t>
  </si>
  <si>
    <t>D4 Setting</t>
  </si>
  <si>
    <t>Dimension 5 – Produkt</t>
  </si>
  <si>
    <t>Eigenschaften der im Lernszenario gefertigten Produkte: Materialität, Herkunft, Komplexität, Varianten.</t>
  </si>
  <si>
    <t>D5 Produkt</t>
  </si>
  <si>
    <t>Dimension 6 – Didaktik / Pädagogik</t>
  </si>
  <si>
    <t>Kompetenzklassen, Lernziele, Lehr-/Lernstrategien, Trainerrolle, Evaluation und Personalisierung.</t>
  </si>
  <si>
    <t>D6 Didaktik</t>
  </si>
  <si>
    <t>Dimension 7 – Kennzahlen (Metrics)</t>
  </si>
  <si>
    <t>Quantitative Kenngrößen: Teilnehmerzahl, Moduldauer, Fläche, Personal, Kosten und Publikationen.</t>
  </si>
  <si>
    <t>D7 Kennzahlen</t>
  </si>
  <si>
    <t>Dimension 8 – Forschung</t>
  </si>
  <si>
    <t>Forschungsthemen, Forschungsgegenstand, beteiligte Personen und Rolle der LF in der Forschung.</t>
  </si>
  <si>
    <t>D8 Forschung</t>
  </si>
  <si>
    <t>Quelle: Abele, E., Metternich, J., Tisch, M., &amp; Kreß, A. (2024). The Variety of Learning Factory Concepts. In: Learning Factories (2. Aufl., S. 97–127). Springer, Cham. DOI 10.1007/978-3-031-46428-7. – Kompetenzbezug: Erpenbeck &amp; Heyse (2007); Erpenbeck &amp; von Rosenstiel (Hrsg., 2007), Handbuch Kompetenzmessung.</t>
  </si>
  <si>
    <t>D1: Betriebs- und Geschäftsmodell</t>
  </si>
  <si>
    <t>Betreiber  |  Finanzierung  |  Trägerschaft  |  Geschäftsmodell der Lernfabrik</t>
  </si>
  <si>
    <t>Gestaltungselement</t>
  </si>
  <si>
    <t>Ausprägungen</t>
  </si>
  <si>
    <t>Relevanz Begründung</t>
  </si>
  <si>
    <t>1.1</t>
  </si>
  <si>
    <t>akademische Einrichtung  |  nicht-akademische Einrichtung  |  gewinnorientierter Betreiber |  Non-Profit-Organisation</t>
  </si>
  <si>
    <t>Betreiber: RePAIR-Labor / Hochschule Aalen, Graduate Campus und Industriepartner</t>
  </si>
  <si>
    <t>1.2</t>
  </si>
  <si>
    <t>Trainer</t>
  </si>
  <si>
    <t>Professor | Forschende:r | studentische Hilfskraft | technische:r Experte:in | Manager:in | Berater:in | Pädagog:in | externe:r Trainer:in</t>
  </si>
  <si>
    <t>Lehrpersonenunabhängigkeit, aber Trainerrolle: Professoren, wisenschaftliche Mitarbeitende, externe Experten</t>
  </si>
  <si>
    <t>1.3</t>
  </si>
  <si>
    <t>Konzeptentwicklung</t>
  </si>
  <si>
    <t>intern | extern unterstützt | extern</t>
  </si>
  <si>
    <t>Interdisziplinäre Verankerung erfolgt über Interviewpartner (Lorena, Jakob, Prof. Schwarzer, Prof. Eber, Prof. Ludwig, Prof. Feldmann)</t>
  </si>
  <si>
    <t>1.4</t>
  </si>
  <si>
    <t>interne Mittel | externe Mittel – öffentliche Mittel | externe Mittel – Unternehmensmittel | externe Mittel – Mittel von Verbänden</t>
  </si>
  <si>
    <t>wirtschaftliche Rentabilität</t>
  </si>
  <si>
    <t>1.5</t>
  </si>
  <si>
    <t>interne Mittel | externe Mittel – öffentliche Mittel | externe Mittel – Industriemittel | externe Mittel – Mittel von Verbänden | Mittel aus Produktverkauf</t>
  </si>
  <si>
    <t>1.6</t>
  </si>
  <si>
    <t>Finanzierungskontinuität</t>
  </si>
  <si>
    <t>kurzfristig (z. B. Einzelveranstaltungen) | mittelfristig (Projekte/Programme &lt; 3 Jahre) | langfristig (Projekte/Programme ≥ 3 Jahre)</t>
  </si>
  <si>
    <t>Sie bestimmen die Nachhaltigkeit des Frameworks über die Arbeit hinaus.</t>
  </si>
  <si>
    <t>1.7</t>
  </si>
  <si>
    <t>Geschäftsmodell Training</t>
  </si>
  <si>
    <t>offene Modelle – Club-Modell | offene Modelle – Kursgebühren | geschlossene Modelle</t>
  </si>
  <si>
    <t>1.8</t>
  </si>
  <si>
    <t>Hochschulen | Hersteller | Beratungen | Industrie | Inkubatoren | Dienstleistungsorganisationen | NGO</t>
  </si>
  <si>
    <t xml:space="preserve">Verbindung zwischen Hochschule und Partner
</t>
  </si>
  <si>
    <t>1.9</t>
  </si>
  <si>
    <t>Geschäftsmodell Forschung</t>
  </si>
  <si>
    <t>Quelle: Abele et al. (2024), Kap. 5.2, Abb. 5.7 (nach Tisch et al. 2015b; Tisch 2018; Kreß et al. 2023).</t>
  </si>
  <si>
    <t>Haupt- und Nebenzwecke  |  Zielgruppen  |  Branchen  |  Inhaltliche Lernschwerpunkte</t>
  </si>
  <si>
    <t>2.1</t>
  </si>
  <si>
    <t>Hochschulbildung | berufliche Aus-/Weiterbildung | Forschung </t>
  </si>
  <si>
    <t>Bildung und berufliche Weiterbildung</t>
  </si>
  <si>
    <t>2.2</t>
  </si>
  <si>
    <t>Nebenzweck</t>
  </si>
  <si>
    <t>Test-/Pilotumgebung | industrielle Produktion | Innovationstransfer | öffentliches Image | Innovation | Demonstration</t>
  </si>
  <si>
    <t>Innovationstransfer zwischen Hochschule und Industrie sowie Demonstration sind relevant, jedoch nachgeordnet.</t>
  </si>
  <si>
    <t>2.3</t>
  </si>
  <si>
    <t>Zielgruppen für               Aus-/Weiterbildung</t>
  </si>
  <si>
    <t xml:space="preserve">Schüler:innen | Bachelor | Master | Promovierende | Auszubildende  Fachkräfte | Führungskräfte | Unternehmer:innen | Freiberufler:innen | Gewerkschaft | Öffentlichkeit </t>
  </si>
  <si>
    <t>Schüler:innen, Studierende, Graduate Campus, Berufsschulen, Fachkräfte, Führungskräfte</t>
  </si>
  <si>
    <t>2.4</t>
  </si>
  <si>
    <t>homogen | heterogen – Wissen | heterogen – Hierarchie | heterogen – gemischte Zielgruppen</t>
  </si>
  <si>
    <t>Kompetenzpfade &amp; Schwierigkeitsgrade</t>
  </si>
  <si>
    <t>2.5</t>
  </si>
  <si>
    <t>Zielbranche</t>
  </si>
  <si>
    <t>Maschinen- &amp; Anlagenbau | Automobil | Luft- &amp; Raumfahrt  | New Economy</t>
  </si>
  <si>
    <t xml:space="preserve">Regionale Industriepartner --&gt; branchenbezogen; Framework --&gt; technologieoffen
</t>
  </si>
  <si>
    <t>2.6</t>
  </si>
  <si>
    <t>Lean Management | Energie- &amp; Ressourceneffizienz | Industrial Engineering | Global Production | Industrie 4.0 | Industrie 5.0 | Produktentstehungsprozess | Kreislaufwirtschaft | Nachhaltigkeit | Business Engineering | Künstliche Intelligenz | Objekterkennung | Ingenieurausbildung | Digital Twin | Fabrikplanung | Additive Fertigung</t>
  </si>
  <si>
    <t>Future Skills!!!; Lean Management | Energie- &amp; Ressourceneffizienz | Industrial Engineering | Global Production | Industrie 4.0 | Industrie 5.0 | Produktentstehungsprozess | Kreislaufwirtschaft | Nachhaltigkeit | Business Engineering | Künstliche Intelligenz | Objekterkennung | Ingenieurausbildung | Digital Twin | Fabrikplanung | Additive Fertigung</t>
  </si>
  <si>
    <t>2.7</t>
  </si>
  <si>
    <t>Rolle der LF in der Forschung</t>
  </si>
  <si>
    <t>Forschungsobjekt (z. B. Forschung zur LF-Verbesserung) | Forschungsenabler (z. B. Entwicklung neuer Methoden in 2.6)</t>
  </si>
  <si>
    <t>Forschungsrolle nachrangig; LF dient hier primär als Lernsetting.</t>
  </si>
  <si>
    <t>Abgebildete Produktionsprozesse  |  Lebenszyklen  |  Automatisierungsgrad  |  Fertigungsverfahren</t>
  </si>
  <si>
    <t>3.1</t>
  </si>
  <si>
    <t>Abgebildete Produktlebens-zyklusphase</t>
  </si>
  <si>
    <t>Produktplanung | Produktentwicklung | Produktdesign | Rapid Prototyping | Fertigung | Montage | Logistik | Service | Recycling/Remanufacturing</t>
  </si>
  <si>
    <t xml:space="preserve">Remanufacturing im Vorfeld miteinbeziehen
(PEP)
</t>
  </si>
  <si>
    <t>3.2</t>
  </si>
  <si>
    <t>Fabriklebenszyklus</t>
  </si>
  <si>
    <t>Investitionsplanung | Fabrikkonzept | Prozessplanung | Hochlauf (Ramp-up) | Fertigung | Montage | Logistik | Instandhaltung | Recycling/Remanufacturing</t>
  </si>
  <si>
    <t>Remanufacturing im Vorfeld miteinbeziehen</t>
  </si>
  <si>
    <t>3.3</t>
  </si>
  <si>
    <t>Auftragslebenszyklus</t>
  </si>
  <si>
    <t>Konfiguration &amp; Auftrag | Auftragsreihenfolge | Produktionsplanung &amp; -steuerung | Fertigung | Montage | Logistik | Kommissionierung/Verpackung | Versand</t>
  </si>
  <si>
    <t>3.4</t>
  </si>
  <si>
    <t>Technologielebenszyklus</t>
  </si>
  <si>
    <t>Planung | Entwicklung | virtuelle Erprobung | Fertigung | Montage | Logistik | Instandhaltung | Modernisierung/Modifikation</t>
  </si>
  <si>
    <t>Remanufacturing im Vorfeld miteinbeziehen (PEP)</t>
  </si>
  <si>
    <t>3.5</t>
  </si>
  <si>
    <t>Indirekte Funktionen</t>
  </si>
  <si>
    <t>Primäraktivitäten – Ein-/Ausgangslogistik | Primäraktivitäten – Marketing &amp; Vertrieb | Primäraktivitäten – Service | Sekundäraktivitäten – Unternehmensinfrastruktur | Sekundäraktivitäten – Personalwesen | Sekundäraktivitäten – Technologieentwicklung | Sekundäraktivitäten – Beschaffung</t>
  </si>
  <si>
    <t xml:space="preserve">Remanufacturing im Vorfeld miteinbeziehen (Entwicklung)
</t>
  </si>
  <si>
    <t>3.6</t>
  </si>
  <si>
    <t>Materialfluss</t>
  </si>
  <si>
    <t>kontinuierliche Produktion | diskrete Produktion</t>
  </si>
  <si>
    <t>Diskrete Produktion entspricht der stückbezogenen Wiederaufbereitung im Remanufacturing.</t>
  </si>
  <si>
    <t>3.7</t>
  </si>
  <si>
    <t>Massenproduktion | Serienproduktion | Kleinserienproduktion | Einzelfertigung</t>
  </si>
  <si>
    <t>Für Framework nicht von großer Relevanz; Klein- und Einzelfertigung und sind charakteristisch für Remanufacturing.</t>
  </si>
  <si>
    <t>3.8</t>
  </si>
  <si>
    <t>Fertigungsorganisation</t>
  </si>
  <si>
    <t>Baustellenfertigung | Werkbankfertigung | Werkstattfertigung | Fließfertigung | wandelbare Fertigungsprinzipien</t>
  </si>
  <si>
    <t xml:space="preserve">Für Framework nicht von großer Relevanz; Werkstatt- bzw. Werkbankfertigung eignet sich für hands-on-orientierte Demontagearbeitsplätze.
</t>
  </si>
  <si>
    <t>3.9</t>
  </si>
  <si>
    <t>manuell | teilautomatisiert/hybrid | vollautomatisiert</t>
  </si>
  <si>
    <t>Haptisches Lernen wird mit der Integration von Robotik und KI kombiniert; der Automatisierungsgrad ist eine Designentscheidung.</t>
  </si>
  <si>
    <t>3.10</t>
  </si>
  <si>
    <t>Fertigungsverfahren</t>
  </si>
  <si>
    <t>Trennen | Urformen | Umformen | Fügen | Beschichten | Stoffeigenschaft ändern | Additive Fertigung</t>
  </si>
  <si>
    <t>Demontage und Fügen sind relevant, jedoch sind nicht alle Verfahren remanufacturing-typisch. Für Framework nicht von großer Relevanz</t>
  </si>
  <si>
    <t>3.11</t>
  </si>
  <si>
    <t>Fertigungstechnologie</t>
  </si>
  <si>
    <t>physikalisch | chemisch | biologisch</t>
  </si>
  <si>
    <t>Der konkrete Technologietyp ist für die didaktische Struktur nachrangig.</t>
  </si>
  <si>
    <t>3.12</t>
  </si>
  <si>
    <t>Anzahl Fabrikbereiche</t>
  </si>
  <si>
    <t>&lt;3 | 3-5 | 6-9 | 10-15 | 15-20 | &gt;20</t>
  </si>
  <si>
    <t>Skalierungsaspekte dienen als Kennzahl, sind jedoch nicht bestimmend für das Framework.</t>
  </si>
  <si>
    <t>3.14</t>
  </si>
  <si>
    <t>Intralogistik-Automatisierung</t>
  </si>
  <si>
    <t>manuell | halbautomatisch | automatisch – ohne Robotik | automatisch – mit Robotik</t>
  </si>
  <si>
    <t>Robotik-Integration als Lerninhalt relevant.</t>
  </si>
  <si>
    <t xml:space="preserve">Quelle: Abele et al. (2024), Kap. 5.3, Abb. 5.9 (nach Tisch et al. 2015b; Tisch 2018; Kreß et al. 2023). </t>
  </si>
  <si>
    <t>Eigenschaften der Lernumgebung:   physisch / virtuell  |  Skalierung  |  Wandlungsfähigkeit  |  IT &amp; Assistenzsysteme</t>
  </si>
  <si>
    <t>4.1</t>
  </si>
  <si>
    <t>Lernumgebung</t>
  </si>
  <si>
    <t>rein physisch (Planung + Ausführung) | physische LF, digital unterstützt (Linie 'IT-Integration') | physischer Wertstrom virtuell erweitert | rein virtuell (Planung + Ausführung)</t>
  </si>
  <si>
    <t>Physisch-haptisches Real-Szenario ist der explizite USP gegenüber rein digitalen Formaten.</t>
  </si>
  <si>
    <t>4.2</t>
  </si>
  <si>
    <t>Skalierung der Umgebung</t>
  </si>
  <si>
    <t>verkleinert (scaled down) | Originalgröße (life-size)</t>
  </si>
  <si>
    <t>Skalierung beeinflusst Frameworkerstellung nicht</t>
  </si>
  <si>
    <t>4.3</t>
  </si>
  <si>
    <t>Arbeitssystemebenen</t>
  </si>
  <si>
    <t>Arbeitsplatz | Arbeitssystem | Fabrik | Netzwerk</t>
  </si>
  <si>
    <t>Modulare Arbeitsplätze sind Bausteine des Schrank-Prinzips.</t>
  </si>
  <si>
    <t>4.4</t>
  </si>
  <si>
    <t>Mobilität | Modularität | Kompatibilität | Skalierbarkeit | Universalität</t>
  </si>
  <si>
    <t>Modularität &amp; Skalierbarkeit --&gt; Schrank-Prinzip; Wiederverwendbarkeit der Module</t>
  </si>
  <si>
    <t>4.5</t>
  </si>
  <si>
    <t>Wandlungsdimensionen</t>
  </si>
  <si>
    <t>Produkt | Prozess | Organisation | Gebäude &amp; Layout | Materialfluss</t>
  </si>
  <si>
    <t>Produkt- und Prozesswandel ermöglichen die Abbildung variabler Remanufacturing-Szenarien.</t>
  </si>
  <si>
    <t>4.6</t>
  </si>
  <si>
    <t>IT-Integration</t>
  </si>
  <si>
    <t>IT vor SOP (CAD, CAM, Simulation) | IT nach SOP (PPS, ERP, MES) | IT nach Produktion (CRM, PLM etc.)</t>
  </si>
  <si>
    <t>IT-bezogene Phasen sind wichtig für die didaktische Struktur--&gt; IT-Module / IT-Infrastruktur / Grundlage DT / IOT</t>
  </si>
  <si>
    <t>4.7</t>
  </si>
  <si>
    <t>Anzahl verschiedener Zustände</t>
  </si>
  <si>
    <t>1 | 2-3 | 3-5 | &gt;5 | individuell auf Zielgruppen abgestimmt</t>
  </si>
  <si>
    <t>Zielgruppenabgestimmte Zustände stützen die Lernpfad-Differenzierung.</t>
  </si>
  <si>
    <t>4.8</t>
  </si>
  <si>
    <t>Datenerfassung | Rückverfolgbarkeit | Datenverarbeitung (z. B. KI) | Assistenzsysteme | digitale Fertigung | Simulation | Datenmanagement &amp; Visualisierung | Automatisierungstechnik | Cybersecurity | Netzwerktechnologien</t>
  </si>
  <si>
    <t>KI, Assistenzsysteme und Automatisierung sind angestrebte Lern-/Technologieinhalte.</t>
  </si>
  <si>
    <t>4.9</t>
  </si>
  <si>
    <t>Standort der LF</t>
  </si>
  <si>
    <t>eigener Standort | in andere Fabrik integriert | in anderes Gebäude integriert | digitaler Standort</t>
  </si>
  <si>
    <t>Standort durch RePAIR-Labor bereits festgelegt.</t>
  </si>
  <si>
    <t>4.10</t>
  </si>
  <si>
    <t>Rolle des Betreibers</t>
  </si>
  <si>
    <t>Teilnehmende | Personal der Organisation | Trainer:in | festangestelltes Personal</t>
  </si>
  <si>
    <t>Lehrpersonenunabhängigkeit beeinflusst Betreiberrolle.</t>
  </si>
  <si>
    <t>4.11</t>
  </si>
  <si>
    <t>Besprechungsraum</t>
  </si>
  <si>
    <t>kein separater Raum | in Shopfloor integriert | separater Raum</t>
  </si>
  <si>
    <t>Raumdetail, nicht frameworkbestimmend.</t>
  </si>
  <si>
    <t>4.12</t>
  </si>
  <si>
    <t>Automatisierungs-pyramide</t>
  </si>
  <si>
    <t xml:space="preserve">Sensoren &amp; Aktoren | SPS (PLC) | SCADA | MES | ERP | SES </t>
  </si>
  <si>
    <t>Detailtiefe der Automatisierungsarchitektur nachrangig.</t>
  </si>
  <si>
    <t>4.13</t>
  </si>
  <si>
    <t>IKT-Protokoll</t>
  </si>
  <si>
    <t>physisch | Daten | Netzwerk | Transport | Sitzung | Darstellung | Anwendung | mehr als eine Anwendung</t>
  </si>
  <si>
    <t>Technische IKT-Ebene nicht relevant für didaktische Struktur.</t>
  </si>
  <si>
    <t>4.14</t>
  </si>
  <si>
    <t>digitale Assistenz | physische Assistenz | Roboter – Industrieroboter | Roboter – Leichtbauroboter | Roboter – tragbare Roboter</t>
  </si>
  <si>
    <t>Assistenz-/Robotiksysteme als Lerninhalt und Lehrpersonenentlastung relevant.</t>
  </si>
  <si>
    <t>4.15</t>
  </si>
  <si>
    <t>funkbasierte Technologie | optische Technologie</t>
  </si>
  <si>
    <t>Spezifische Tracking-Technologie nachrangig.</t>
  </si>
  <si>
    <t xml:space="preserve">Quelle: Abele et al. (2024), Kap. 5.4, Abb. 5.11 (nach Tisch et al. 2015b; Tisch 2018; Kreß et al. 2023). </t>
  </si>
  <si>
    <t>Eigenschaften der im Lernszenario gefertigten Produkte:   Materialität  |  Herkunft  |  Komplexität  |  Varianten</t>
  </si>
  <si>
    <t>5.1</t>
  </si>
  <si>
    <t>materiell (physisches Produkt) | immateriell (Dienstleistung) | digital (Daten, Software)</t>
  </si>
  <si>
    <t xml:space="preserve">Das Altgerät dient als physisches Lernobjekt und bildet die Grundlage des hands-on Szenarios.
</t>
  </si>
  <si>
    <t>5.2</t>
  </si>
  <si>
    <t>Produktform</t>
  </si>
  <si>
    <t>Stückgut | Schüttgut | Fließprodukte</t>
  </si>
  <si>
    <t xml:space="preserve">Stückgut in Form von Altgeräten entspricht dem zentralen Remanufacturing-Objekt.
</t>
  </si>
  <si>
    <t>5.3</t>
  </si>
  <si>
    <t>Produktherkunft</t>
  </si>
  <si>
    <t>Eigenentwicklung | Entwicklung durch Teilnehmende (wechselnde Ideen) | Teilentwicklung | Fremdentwicklung</t>
  </si>
  <si>
    <t>Herkunft der Lernprodukte bei realen Altgeräten weniger steuerbar.</t>
  </si>
  <si>
    <t>5.4</t>
  </si>
  <si>
    <t>Marktfähigkeit</t>
  </si>
  <si>
    <t xml:space="preserve"> am Markt verfügbar | am Markt verfügbar, aber didaktisch vereinfacht | nicht am Markt verfügbar</t>
  </si>
  <si>
    <t>Reale vs. didaktisch vereinfachte Altgeräte beeinflussen Lernkomplexität.</t>
  </si>
  <si>
    <t>5.5</t>
  </si>
  <si>
    <t>Funktionalität</t>
  </si>
  <si>
    <t>funktionsfähiges Produkt | didaktisch angepasst, eingeschränkte Funktion | ohne Funktion, nur zur Demonstration</t>
  </si>
  <si>
    <t xml:space="preserve">Funktionszustand bestimmt die remanufacturing-typischen Bewertungs- und Entscheidungsaufgaben.
</t>
  </si>
  <si>
    <t>5.6</t>
  </si>
  <si>
    <t>Anzahl verschiedener Produkte</t>
  </si>
  <si>
    <t>1 Produkt | 2 Produkte | 3-4 Produkte | &gt;4 Produkte | flexibel, durch Teilnehmende entwickelt | Annahme realer Aufträge</t>
  </si>
  <si>
    <t>Produktvielfalt skaliert die Breite der Lernszenarien über verschiedene Zielgruppen hinweg.</t>
  </si>
  <si>
    <t>5.7</t>
  </si>
  <si>
    <t>Anzahl Varianten</t>
  </si>
  <si>
    <t xml:space="preserve"> 1 Variante | 2-4 Varianten | 5-20 Varianten | &gt;20 Varianten | flexibel, je nach Teilnehmenden | durch reale Aufträge bestimmt | konfigurierbar</t>
  </si>
  <si>
    <t>Variantenvielfalt bildet die für Remanufacturing zentrale Variabilität der Ausgangszustände ab.</t>
  </si>
  <si>
    <t>5.8</t>
  </si>
  <si>
    <t>Anzahl Komponenten</t>
  </si>
  <si>
    <t>1 Komp. | 2-5 Komp. | 6-20 Komp. | 21-50 Komp. | 51-100 Komp. | &gt;100 Komp. | konfigurierbar</t>
  </si>
  <si>
    <t>Die Anzahl der Komponenten steuert die Komplexität der Demontageprozesse.</t>
  </si>
  <si>
    <t>5.9</t>
  </si>
  <si>
    <t>Wiederverwendung/Recycling | Ausstellung/Display | Give-away | Verkauf | Entsorgung</t>
  </si>
  <si>
    <t>Wiederverwendung/Recycling ist das didaktische Ziel und Kern der Kreislauflogik.</t>
  </si>
  <si>
    <t>5.10</t>
  </si>
  <si>
    <t>Produktgewicht</t>
  </si>
  <si>
    <t>≤ 1 kg | 1 kg – 10 kg | 10 kg – 25 kg | ≥ 25 kg</t>
  </si>
  <si>
    <t>Gewicht ergonomisch relevant, aber nicht frameworkbestimmend.</t>
  </si>
  <si>
    <t>5.11</t>
  </si>
  <si>
    <t>Komponenten</t>
  </si>
  <si>
    <t>physisch – mechanisch | physisch – elektrisch | physisch – elektronisch | digital</t>
  </si>
  <si>
    <t>Die Art der Komponenten bestimmt die erforderlichen Demontage- und Diagnosekompetenzen.</t>
  </si>
  <si>
    <t xml:space="preserve">Quelle: Abele et al. (2024), Kap. 5.5, Abb. 5.13 (nach Tisch et al. 2015b; Tisch 2018; Kreß et al. 2023). </t>
  </si>
  <si>
    <t>Kompetenzklassen  |  Lernziele  |   Lehr-/Lernstrategien  |  Trainerrolle  |  Evaluation  |  Personalisierung</t>
  </si>
  <si>
    <t>Bezug Kompetenzmodell Erpenbeck</t>
  </si>
  <si>
    <t>6.1</t>
  </si>
  <si>
    <t>fachlich-methodische Kompetenzen | sozial-kommunikative Kompetenzen | personale Kompetenzen | aktivitätsorientierte Kompetenzen</t>
  </si>
  <si>
    <t>1:1-Entsprechung zu Erpenbecks vier Basiskompetenzen (F/S/P/A). Direkte theoretische Fundierung des Kompetenzaufbaus.</t>
  </si>
  <si>
    <t>Definiert, welche Remanufacturing-Kompetenzen aufgebaut werden – Kern der Forschungsfrage 1.</t>
  </si>
  <si>
    <t>6.2</t>
  </si>
  <si>
    <t>Dimension der Lernziele</t>
  </si>
  <si>
    <t>kognitiv | affektiv | psychomotorisch</t>
  </si>
  <si>
    <t>Affektiver Bereich (Werte/Einstellungen) als Brücke zur personalen Kompetenz (P). Die kognitive Ausprägung wird über die revidierte Bloom-Taxonomie (Anderson &amp; Krathwohl 2001) in 6 Prozessstufen × 4 Wissensarten ausdifferenziert – siehe Blatt 'Bloom-Bezug'.</t>
  </si>
  <si>
    <t>Handlungsorientierung verlangt psychomotorische + kognitive Lernziele; Bloom liefert die Stufung der kognitiven Tiefe.</t>
  </si>
  <si>
    <t>6.3</t>
  </si>
  <si>
    <t>Lernszenario-Strategie</t>
  </si>
  <si>
    <t>Instruktion | Demonstration | geschlossenes Szenario | offenes Szenario</t>
  </si>
  <si>
    <t>Offene Szenarien adressieren Erpenbecks Kern: selbstorganisiertes Handeln unter Unsicherheit (A/P).</t>
  </si>
  <si>
    <t>Variable Ausgangszustände erfordern offene, fehlererlaubte Szenarien.</t>
  </si>
  <si>
    <t>6.4</t>
  </si>
  <si>
    <t>Typ der Lernumgebung</t>
  </si>
  <si>
    <t>Greenfield (Aufbau einer Fabrikumgebung) | Brownfield (Verbesserung bestehender Umgebung)</t>
  </si>
  <si>
    <t>Brownfield entspricht Aufwertung bestehender Module ('Schrank').</t>
  </si>
  <si>
    <t>6.5</t>
  </si>
  <si>
    <t>Kommunikationskanal</t>
  </si>
  <si>
    <t>Präsenzlernen (in der Fabrikumgebung) | Fernzugriff (zur Fabrikumgebung)</t>
  </si>
  <si>
    <t>Präsenz im RePAIR-Labor zentral; Fernzugriff sekundär.</t>
  </si>
  <si>
    <t>6.6</t>
  </si>
  <si>
    <t>Grad der Autonomie</t>
  </si>
  <si>
    <t>angeleitet (instructed) | selbstgesteuert/selbstreguliert | selbstbestimmt/selbstorganisiert</t>
  </si>
  <si>
    <t>Steigende Autonomie = Erpenbecks Selbstorganisationsdisposition; Kernmerkmal von Kompetenz vs. Qualifikation.</t>
  </si>
  <si>
    <t>Selbstorganisiertes Handeln ist erklärtes Lernprinzip der Arbeit.</t>
  </si>
  <si>
    <t>6.7</t>
  </si>
  <si>
    <t>Rolle des Trainers</t>
  </si>
  <si>
    <t>Präsentator:in | Moderator:in | Coach | Instrukteur:in</t>
  </si>
  <si>
    <t>Coach-/Moderationsrollen fördern selbstorganisiertes Lernen (A/P/S).</t>
  </si>
  <si>
    <t>Lehrpersonenunabhängigkeit verschiebt Rolle von Instruktion zu Begleitung.</t>
  </si>
  <si>
    <t>6.8</t>
  </si>
  <si>
    <t>Art der Lernaktivitäten</t>
  </si>
  <si>
    <t>Tutorial | praktischer Laborkurs | Seminar | Workshop | Projektarbeit | Flipped Classroom | Business-Szenario (z. B. Produktlebenszyklus)</t>
  </si>
  <si>
    <t>Projektarbeit/Business-Szenarien aktivieren alle vier Kompetenzklassen (A integriert P, F, S).</t>
  </si>
  <si>
    <t>Handlungsorientierte Aufgaben (Altgerät bewerten --&gt; entscheiden --&gt; demontieren) sind Methodenkern.</t>
  </si>
  <si>
    <t>6.9</t>
  </si>
  <si>
    <t>Standardisierung der Trainings</t>
  </si>
  <si>
    <t>standardisierte Lernmodule | individualisierte Lernmodule | modulare Lernmodule</t>
  </si>
  <si>
    <t>Modulare/standardisierte Lernmodule sind das Herzstück des Schrank-Prinzips und der Skalierbarkeit.</t>
  </si>
  <si>
    <t>6.10</t>
  </si>
  <si>
    <t>Theoretische Fundierung</t>
  </si>
  <si>
    <t>Voraussetzung | vorab (en bloc) | abwechselnd mit Praxisteilen | bedarfsorientiert</t>
  </si>
  <si>
    <t>Verzahnung Theorie–Praxis (Manufacturing-Grundlagen --&gt; Remanufacturing).</t>
  </si>
  <si>
    <t>6.11</t>
  </si>
  <si>
    <t>Teilnehmerfeedback | Kompetenzmessung | Transfer in reale Fabrik | ökonomische Wirkung des Trainings | Return on Training</t>
  </si>
  <si>
    <t>Ebene 'Kompetenzmessung' = direkter Anknüpfungspunkt an Erpenbecks Messverfahren.</t>
  </si>
  <si>
    <t>MVP-Evaluation + Kompetenzmessung sind Teil der Methodik.</t>
  </si>
  <si>
    <t>6.12</t>
  </si>
  <si>
    <t>Wissenstest – schriftlich | Wissenstest – mündlich | schriftlicher Bericht | mündliche Präsentation | praktische Prüfung | 360-Grad-Assessment | keine</t>
  </si>
  <si>
    <t>Praktische Prüfung/360-Grad erfassen performanzorientiert (Erpenbeck) statt nur kognitives Wissen.</t>
  </si>
  <si>
    <t>Handlungsorientierte Kompetenz erfordert praktische Prüfungsformate.</t>
  </si>
  <si>
    <t>6.13</t>
  </si>
  <si>
    <t>Lernfabrik-Erweiterungen</t>
  </si>
  <si>
    <t>Fallstudie | Rollenspiel | Simulation | keine</t>
  </si>
  <si>
    <t>Fallstudie/Simulation als didaktische Ergänzung für Bewertungsentscheidungen.</t>
  </si>
  <si>
    <t>6.14</t>
  </si>
  <si>
    <t>Grad der Personalisierung</t>
  </si>
  <si>
    <t>Teilnehmerpersonalisierung | Gruppenpersonalisierung | keine</t>
  </si>
  <si>
    <t>Zielgruppenspezifische Kompetenzpfade verlangen Personalisierung.</t>
  </si>
  <si>
    <t>6.15</t>
  </si>
  <si>
    <t>Teilnahmeform</t>
  </si>
  <si>
    <t>Präsenzteilnahme | hybride Teilnahme | Fernteilnahme</t>
  </si>
  <si>
    <t>Präsenz dominiert (haptisch); Hybridform für Graduate Campus denkbar.</t>
  </si>
  <si>
    <t>Quelle Morphologie: Abele et al. (2024), Kap. 5.6, Abb. 5.16 (nach Tisch et al. 2015a; Kreß et al. 2023). – Kompetenzklassen nach Erpenbeck &amp; Heyse (2007); Erpenbeck &amp; von Rosenstiel (Hrsg., 2007).</t>
  </si>
  <si>
    <t>Dimension 7 – Metriken / Kennzahlen</t>
  </si>
  <si>
    <t>Quantitative Kenngrößen: Teilnehmerzahl  |  Moduldauer  |  Fläche  |  Personal  |  Kosten  |  Publikationen</t>
  </si>
  <si>
    <t>7.1</t>
  </si>
  <si>
    <t>1-5 | 6-10 | 10-15 | 16-20 | &gt;20</t>
  </si>
  <si>
    <t>Modulkapazität bestimmt Skalierbarkeit und Wirtschaftlichkeit (MVP).</t>
  </si>
  <si>
    <t>7.2</t>
  </si>
  <si>
    <t>1 | 2-4 | 5-10 | &gt;10 | modularisiert</t>
  </si>
  <si>
    <t>Direkte Kennzahl des Schrank-Prinzips/Modulportfolios.</t>
  </si>
  <si>
    <t>7.3</t>
  </si>
  <si>
    <t>Undergraduate: 1 | Undergraduate: 2-4 | Undergraduate: 5-10 | Undergraduate: &gt;10 | Undergraduate: modularisiert | Graduate: 1 | Graduate: 2-4 | Graduate: 5-10 | Graduate: &gt;10 | Graduate: modularisiert</t>
  </si>
  <si>
    <t>Zielgruppendifferenzierte Modulpfade (Undergraduate/Graduate Campus).</t>
  </si>
  <si>
    <t>7.4</t>
  </si>
  <si>
    <t>Durchschnittsdauer eines Lernmoduls</t>
  </si>
  <si>
    <t>≤ 0,5 Tag | 0,5 – 1 Tag | 1 – 2 Tage | 2 – 5 Tage | 5 – 10 Tage | 10 – 20 Tage | &gt; 20 Tage</t>
  </si>
  <si>
    <t>Zeitangaben sind definiertes Modul-Kriterium im Kriterienkatalog.</t>
  </si>
  <si>
    <t>7.5</t>
  </si>
  <si>
    <t>Hochqualifizierte pro Jahr ausgebildet</t>
  </si>
  <si>
    <t>&lt; 50 | 50-200 | 201-500 | 501-1000 | &gt;1000</t>
  </si>
  <si>
    <t>Wirkungskennzahl, relevant für Skalierungsnachweis.</t>
  </si>
  <si>
    <t>7.6</t>
  </si>
  <si>
    <t>Größe der LF</t>
  </si>
  <si>
    <t>&lt; 50 qm | 50 – 100 qm | 100 – 300 qm | 300 – 500 qm | 500 – 1000 qm | &gt; 1000 qm</t>
  </si>
  <si>
    <t>Fläche durch RePAIR-Labor vorgegeben.</t>
  </si>
  <si>
    <t>7.7</t>
  </si>
  <si>
    <t>VZÄ in der LF (Trainer, Betreiber etc.)</t>
  </si>
  <si>
    <t>&lt; 1 | 2-4 | 5-9 | 10-15 | &gt;15</t>
  </si>
  <si>
    <t>Personalbedarf relevant für Rentabilität und Lehrpersonenunabhängigkeit.</t>
  </si>
  <si>
    <t>7.8</t>
  </si>
  <si>
    <t>Bildungseinheiten pro Jahr</t>
  </si>
  <si>
    <t>&lt; 5 | 5-15 | 15-30 | 30-50 | &gt;50</t>
  </si>
  <si>
    <t>Auslastungskennzahl für Wirtschaftlichkeit.</t>
  </si>
  <si>
    <t>7.9</t>
  </si>
  <si>
    <t>Industrietrainings pro Jahr</t>
  </si>
  <si>
    <t>Industrieweiterbildung als Erlösquelle.</t>
  </si>
  <si>
    <t>7.10a</t>
  </si>
  <si>
    <t>Disseminations (Verbreitung)-veranstaltungen pro Jahr</t>
  </si>
  <si>
    <t>Verbreitung sekundär zur Frameworkstruktur.</t>
  </si>
  <si>
    <t>7.10b</t>
  </si>
  <si>
    <t>Einrichtungskosten (Setup)</t>
  </si>
  <si>
    <t xml:space="preserve">&lt; 10.000 € | 10.000 – 100.000 € | 100.000 € – 1 Mio. € | &gt; 1 Mio. </t>
  </si>
  <si>
    <t>Investitionskosten direkt rentabilitätsrelevant.</t>
  </si>
  <si>
    <t>7.11</t>
  </si>
  <si>
    <t>Betriebskosten pro Jahr</t>
  </si>
  <si>
    <t>&lt; 10.000 € | 10.000 – 100.000 € | 100.000 € – 1 Mio. € | &gt; 1 Mio.</t>
  </si>
  <si>
    <t>Laufende Kosten zentral für 'wirtschaftlich rentabel'.</t>
  </si>
  <si>
    <t>7.12</t>
  </si>
  <si>
    <t>Peer-Review-Publikationen zur LF pro Jahr</t>
  </si>
  <si>
    <t>&lt; 5 | 5-15 | 15-25 | &gt; 25</t>
  </si>
  <si>
    <t>Forschungsoutput nicht Gegenstand des Frameworks.</t>
  </si>
  <si>
    <t>7.13</t>
  </si>
  <si>
    <t>Drittmittel zur LF pro Jahr</t>
  </si>
  <si>
    <t>&lt; 10.000 € | 10.000 € – 1 Mio. € | 1 Mio. – 20 Mio. € | &gt; 20 Mio.</t>
  </si>
  <si>
    <t>Drittmittel als Finanzierungsquelle (Bezug zu D1).</t>
  </si>
  <si>
    <t>Quelle: Abele et al. (2024), Kap. 5.7, Abb. 5.17 (nach Tisch et al. 2015a; Kreß et al. 2023).</t>
  </si>
  <si>
    <t>Forschungsthemen  |  Forschungsgegenstand  |  beteiligte Personen  |  Personal  |  Rolle der LF in der Forschung</t>
  </si>
  <si>
    <t>8.2</t>
  </si>
  <si>
    <t>Forschungs-gegenstand</t>
  </si>
  <si>
    <t>neue Technologien | neue Prozesse | neue Methoden | neue Management-Werkzeuge | neue Materialien | neue didaktische Methoden | neue Grundlagenerkenntnisse</t>
  </si>
  <si>
    <t>'Neue didaktische Methoden' beschreibt genau den Beitrag der Arbeit.</t>
  </si>
  <si>
    <t>8.3</t>
  </si>
  <si>
    <t>Beteiligte Personen im Forschungsprozess</t>
  </si>
  <si>
    <t>Spitzenforschende (z. B. Vollprofessur, Forschungsleitung) | erfahrene Forschende (z. B. assoz. Professur, Senior Researcher) | anerkannte Forschende (z. B. Juniorprofessur, Post-doc) | Nachwuchsforschende (z. B. Promovierende)</t>
  </si>
  <si>
    <t>Personalebene der Forschung nicht Gegenstand des Frameworks.</t>
  </si>
  <si>
    <t>8.4</t>
  </si>
  <si>
    <t>Forschungsumfang</t>
  </si>
  <si>
    <t>LF als Forschungsobjekt | LF als Forschungsenabler</t>
  </si>
  <si>
    <t>LF als Forschungsobjekt (didaktisches Framework selbst wird untersucht).</t>
  </si>
  <si>
    <t>Quelle: Abele et al. (2024), Kap. 5.8, Abb. 5.18 (nach Kreß et al. 2023).</t>
  </si>
  <si>
    <t>Future Skills!!!</t>
  </si>
  <si>
    <t>Modulbewertung – Erfüllungsgrad eines Lernmoduls gegen den Kriterienkatalog</t>
  </si>
  <si>
    <t>Modulname:</t>
  </si>
  <si>
    <t>Zielgruppe:</t>
  </si>
  <si>
    <t>erfüllt</t>
  </si>
  <si>
    <t>Skala:  erfüllt = 2   |   teilweise = 1   |   nicht erfüllt = 0   |   n.r. = nicht relevant (zählt nicht)</t>
  </si>
  <si>
    <t>teilweise</t>
  </si>
  <si>
    <t>nicht erfüllt</t>
  </si>
  <si>
    <t>Kriterium (Element)</t>
  </si>
  <si>
    <t>Indikator / Messgröße</t>
  </si>
  <si>
    <t>Bewertung</t>
  </si>
  <si>
    <t>Punkte</t>
  </si>
  <si>
    <t>Bemerkung</t>
  </si>
  <si>
    <t>nicht relevant</t>
  </si>
  <si>
    <t>I. Zielgruppen &amp; Lerninhalt</t>
  </si>
  <si>
    <t xml:space="preserve"> berufliche Aus-/Weiterbildung </t>
  </si>
  <si>
    <t>Zielgruppen für Aus-/Weiterbildung</t>
  </si>
  <si>
    <t xml:space="preserve"> Industrie 4.0 </t>
  </si>
  <si>
    <t>Zwischensumme I. Zielgruppen &amp; Lerninhalt</t>
  </si>
  <si>
    <t>erreicht / max. (nur bewertete Kriterien) – Erfüllungsgrad</t>
  </si>
  <si>
    <t>II. Didaktik &amp; Kompetenzaufbau</t>
  </si>
  <si>
    <t>B.1</t>
  </si>
  <si>
    <t>Bloom: kognitive Zielstufe</t>
  </si>
  <si>
    <t>Prozessstufe</t>
  </si>
  <si>
    <t>B.2</t>
  </si>
  <si>
    <t>Bloom: Wissensart</t>
  </si>
  <si>
    <t>Wissensdimension</t>
  </si>
  <si>
    <t>Zwischensumme II. Didaktik &amp; Kompetenzaufbau</t>
  </si>
  <si>
    <t>III. Prozess- &amp; Produktbezug (Remanufacturing)</t>
  </si>
  <si>
    <t>Zwischensumme III. Prozess- &amp; Produktbezug (Remanufacturing)</t>
  </si>
  <si>
    <t>IV. Wirtschaftlichkeit &amp; Skalierung</t>
  </si>
  <si>
    <t>Zwischensumme IV. Wirtschaftlichkeit &amp; Skalierung</t>
  </si>
  <si>
    <t>GESAMT-ERFÜLLUNGSGRAD (alle bewerteten Kriterien)</t>
  </si>
  <si>
    <t>Hinweis: 'n.r.' schließt ein Kriterium aus der Wertung aus (zählt weder im Zähler noch im Nenner). Der Erfüllungsgrad ist damit nur auf die tatsächlich relevanten Kriterien bezogen. Für einen Modulvergleich die Gesamt- und Gruppenwerte mehrerer Modulblätter gegenüberstellen. Kriterien/Indikatoren: siehe Blatt 'FrameworkEntwurf'.</t>
  </si>
  <si>
    <t>Modulsteckbrief – standardisierte Modulbeschreibung</t>
  </si>
  <si>
    <t>Learning Factory · Kompetenzaufbau im Remanufacturing · Schrank-Prinzip. Felder korrespondieren mit der Morphologie nach Abele et al. (2024, Kap. 5) und dem Kompetenzmodell nach Erpenbeck &amp; Heyse (2007). Gelbe Zellen ausfüllen.</t>
  </si>
  <si>
    <t>1  Identifikation</t>
  </si>
  <si>
    <t>Modul-ID / Kürzel</t>
  </si>
  <si>
    <t>MODUL_123 / M_XY_01</t>
  </si>
  <si>
    <t>Modulname</t>
  </si>
  <si>
    <t>Altgerät bewerten und demontieren – Einstieg Remanufacturing</t>
  </si>
  <si>
    <t>Version / Stand</t>
  </si>
  <si>
    <t>V_01 / aktuelles Datum</t>
  </si>
  <si>
    <t>Autor:in / verantwortlich</t>
  </si>
  <si>
    <t>Modulverantwortlicher</t>
  </si>
  <si>
    <t>2  Zielgruppe &amp; Adressierung</t>
  </si>
  <si>
    <t>Zielgruppe(n)</t>
  </si>
  <si>
    <t>Bachelor (&gt;3. Semester)</t>
  </si>
  <si>
    <t>Graduate Campus</t>
  </si>
  <si>
    <t>Fachkraft</t>
  </si>
  <si>
    <t>Führungskraft</t>
  </si>
  <si>
    <t>Vorwissen / Voraussetzung</t>
  </si>
  <si>
    <t>kein Vorwissen</t>
  </si>
  <si>
    <t>Vorwissen Grundlagen</t>
  </si>
  <si>
    <t>Vorwissen Anwendung</t>
  </si>
  <si>
    <t>Vorwissen Vertieft</t>
  </si>
  <si>
    <t xml:space="preserve">Teilnehmerkonstellation </t>
  </si>
  <si>
    <t>heterogen</t>
  </si>
  <si>
    <t>Teilnehmergröße</t>
  </si>
  <si>
    <t>kleine Gruppe (3-4 TN)</t>
  </si>
  <si>
    <t>Einzelschulung</t>
  </si>
  <si>
    <t>mittlere Gruppe (5-10 TN)</t>
  </si>
  <si>
    <t>große Gruppe (&gt;11 TN)</t>
  </si>
  <si>
    <t>3  Lernziele &amp; Kompetenzen</t>
  </si>
  <si>
    <t>Übergeordnetes Lernziel</t>
  </si>
  <si>
    <t>Lernende können ein gebrauchtes Gerät hinsichtlich Wiederaufbereitbarkeit bewerten, eine begründete Reman-Entscheidung treffen und es sicher zerstörungsfrei demontieren.</t>
  </si>
  <si>
    <t>Lernziel nicht zutreffend</t>
  </si>
  <si>
    <t>Lernziel teilweise zutreffend</t>
  </si>
  <si>
    <t>Lernziel zutreffend</t>
  </si>
  <si>
    <t>Kompetenzklassen (Erpenbeck)</t>
  </si>
  <si>
    <t>F (Demontage-/Diagnosemethodik), A (Entscheidung umsetzen), P (Selbsteinschätzung der Unsicherheit)</t>
  </si>
  <si>
    <t>Lernzieldimension</t>
  </si>
  <si>
    <t>kognitiv + psychomotorisch (haptische Demontage)</t>
  </si>
  <si>
    <t>kognitiv</t>
  </si>
  <si>
    <t>psychomotorisch (haptisch)</t>
  </si>
  <si>
    <t>affektiv</t>
  </si>
  <si>
    <t>Kognitive Stufen (Bloom)</t>
  </si>
  <si>
    <t>überwiegend 3. Anwenden, 4. Analysieren, 5. Bewerten</t>
  </si>
  <si>
    <t>Wissensarten (Bloom)</t>
  </si>
  <si>
    <t>prozedural (Demontage), konzeptuell (Bewertungskriterien), metakognitiv (Selbsteinschätzung)</t>
  </si>
  <si>
    <t>Feinlernziele</t>
  </si>
  <si>
    <t>1) Zustand systematisch erfassen [Analysieren]  2) Wiederverwendbarkeit einschätzen [Bewerten]  3) Reman-/Recycling-Entscheidung begründen [Bewerten]  4) zerstörungsfrei demontieren [Anwenden]</t>
  </si>
  <si>
    <t>1) Zustand systematisch erfassen [Analysieren]</t>
  </si>
  <si>
    <t>2) Wiederverwendbarkeit einschätzen [Bewerten]</t>
  </si>
  <si>
    <t>3) Reman-/Recycling-Entscheidung begründen [Bewerten]</t>
  </si>
  <si>
    <t>4) zerstörungsfrei demontieren [Anwenden]</t>
  </si>
  <si>
    <t>4  Inhalt &amp; Prozessbezug (Remanufacturing)</t>
  </si>
  <si>
    <t>Prozessbezug (Lebenszyklus)</t>
  </si>
  <si>
    <t>Produktlebenszyklus</t>
  </si>
  <si>
    <t>Recycling/ Remanufacturing</t>
  </si>
  <si>
    <t>Schwerpunkt Demontage &amp; Bewertung</t>
  </si>
  <si>
    <t>Prozesstyp / Variabilität</t>
  </si>
  <si>
    <t>didaktisch vereinfacht</t>
  </si>
  <si>
    <t>reales Altgerät</t>
  </si>
  <si>
    <t>Lernobjekt</t>
  </si>
  <si>
    <t>mittelgroß</t>
  </si>
  <si>
    <t>klein</t>
  </si>
  <si>
    <t>groß</t>
  </si>
  <si>
    <t>Produktkomponenten</t>
  </si>
  <si>
    <t xml:space="preserve">6 - 20 </t>
  </si>
  <si>
    <t>2 - 5</t>
  </si>
  <si>
    <t>51 -100</t>
  </si>
  <si>
    <t>&gt;100</t>
  </si>
  <si>
    <t>Lerninhalte (Stichworte)</t>
  </si>
  <si>
    <t xml:space="preserve"> Entscheidungslogik (reuse/reman/recycle)</t>
  </si>
  <si>
    <t>Zustandsdiagnose</t>
  </si>
  <si>
    <t>Bewertungskriterien</t>
  </si>
  <si>
    <t>Demontagetechnik</t>
  </si>
  <si>
    <t>Arbeitssicherheit</t>
  </si>
  <si>
    <t>Technologiebezug</t>
  </si>
  <si>
    <t>kein Bezug</t>
  </si>
  <si>
    <t>KI-gestützt</t>
  </si>
  <si>
    <t>5  Didaktik &amp; Methodik</t>
  </si>
  <si>
    <t>offenes Szenario (fehlererlaubt), variable Ausgangslage</t>
  </si>
  <si>
    <t xml:space="preserve">Instruktion </t>
  </si>
  <si>
    <t>geschlossenes Szenario</t>
  </si>
  <si>
    <t>offenes Szenario (variable Ausgangslage)</t>
  </si>
  <si>
    <t>selbstgesteuert mit Coaching-Begleitung</t>
  </si>
  <si>
    <t>angeleitet (instructed)</t>
  </si>
  <si>
    <t xml:space="preserve">selbstgesteuert/selbstreguliert </t>
  </si>
  <si>
    <t>Coach (Lernbegleitung statt Frontalinstruktion)</t>
  </si>
  <si>
    <t xml:space="preserve">Präsentator:in </t>
  </si>
  <si>
    <t>Lernaktivität</t>
  </si>
  <si>
    <t>praktischer Laborkurs</t>
  </si>
  <si>
    <t>Flipped Classroom</t>
  </si>
  <si>
    <t>Business-Szenario (z. B. Produktlebenszyklus)</t>
  </si>
  <si>
    <t>Sozialform</t>
  </si>
  <si>
    <t>6  Organisation &amp; Einordnung</t>
  </si>
  <si>
    <t>Dauer</t>
  </si>
  <si>
    <t>2 – 5 Tage</t>
  </si>
  <si>
    <t>≤ 0,5 Tag</t>
  </si>
  <si>
    <t>0,5 – 1 Tag</t>
  </si>
  <si>
    <t xml:space="preserve"> 1 – 2 Tage</t>
  </si>
  <si>
    <t xml:space="preserve"> 5 – 10 </t>
  </si>
  <si>
    <t>10 – 20 Tage</t>
  </si>
  <si>
    <t>&gt; 20 Tage</t>
  </si>
  <si>
    <t>Teilnehmerzahl</t>
  </si>
  <si>
    <t>3 - 4 Teilnehmende</t>
  </si>
  <si>
    <t>6-10</t>
  </si>
  <si>
    <t>10-15</t>
  </si>
  <si>
    <t>16-20</t>
  </si>
  <si>
    <t>&gt;20</t>
  </si>
  <si>
    <t>Ort / Setting</t>
  </si>
  <si>
    <t>physisch (RePAIR-Labor), hands-on</t>
  </si>
  <si>
    <t>Benötigte Ausstattung</t>
  </si>
  <si>
    <t>Demontage-Arbeitsplatz, Werkzeugsatz, PSA, Altgeräte-Pool, Bewertungsbogen</t>
  </si>
  <si>
    <t>Position im Lernpfad</t>
  </si>
  <si>
    <t>Einstiegsmodul Remanufacturing; baut auf Manufacturing-Grundlagen auf; Folgemodul: Aufarbeitung/Wiedermontage</t>
  </si>
  <si>
    <t>Einstiegsmodul</t>
  </si>
  <si>
    <t>Folgemodul</t>
  </si>
  <si>
    <t>Expertenmodul</t>
  </si>
  <si>
    <t xml:space="preserve">Modularität  </t>
  </si>
  <si>
    <t>modular &amp; lehrpersonenunabhängig; auf andere Geräteklassen übertragbar</t>
  </si>
  <si>
    <t>modular</t>
  </si>
  <si>
    <t>nicht modular</t>
  </si>
  <si>
    <t>Übertragbarkeit</t>
  </si>
  <si>
    <t>lehrpersonabhängig</t>
  </si>
  <si>
    <t>nicht lehrpersonabhängig</t>
  </si>
  <si>
    <t>7  Evaluation &amp; Erfolgskriterien</t>
  </si>
  <si>
    <t>Evaluationsebene</t>
  </si>
  <si>
    <t>Prüfungs-/Bewertungsform</t>
  </si>
  <si>
    <t>Erfolgskriterium</t>
  </si>
  <si>
    <t>korrekte Remanufacturing-Entscheidung begründet + zerstörungsfreie Demontage erreicht</t>
  </si>
  <si>
    <t>8  Wirtschaftlichkeit &amp; Trägerschaft</t>
  </si>
  <si>
    <t>Trägerschaft / Partner</t>
  </si>
  <si>
    <t>Hochschule Aalen + regionale Industriepartner</t>
  </si>
  <si>
    <t>Kostenrahmen (Hinweis)</t>
  </si>
  <si>
    <t>geringe Materialkosten (Altgeräte-Pool); Werkzeug mehrfach nutzbar</t>
  </si>
  <si>
    <t>Geschäftsmodell</t>
  </si>
  <si>
    <t>offen: Kursgebühr (Graduate Campus) / curricular (Studium)</t>
  </si>
  <si>
    <t>Hinweis: Dies ist ein ausgefülltes Beispiel (Demontage-/Bewertungsmodul). Für ein neues Modul die Werte in Spalte B überschreiben. Anschließende Bewertung über das Blatt 'Modulbewertung'. Druckfähige Word-Vorlage (blanko + Beispiel) separat verfügbar.</t>
  </si>
  <si>
    <t>Learning Factory · Kompetenzaufbau im Remanufacturing · Modulportfolio. Felder korrespondieren mit der Morphologie nach Abele et al. (2024, Kap. 5) und dem Kompetenzmodell nach Erpenbeck &amp; Heyse (2007). Vorausgefüllt aus dem Modulportfolio-Brainstorming (begründete Annahmen); gelbe Zellen ggf. anpassen.</t>
  </si>
  <si>
    <t>M_RECBOT_01</t>
  </si>
  <si>
    <t>RecycleBot – Innovationspotenziale der Kreislaufwirtschaft</t>
  </si>
  <si>
    <t>V_01 / 03.03.2026</t>
  </si>
  <si>
    <t>Modulverantwortliche:r (Partnerschaft Hörger/GOA)</t>
  </si>
  <si>
    <t>Industrie / Innovationsmanager:innen, Master, Graduate Campus</t>
  </si>
  <si>
    <t>kein Vorwissen (Grundverständnis Produktion hilfreich)</t>
  </si>
  <si>
    <t>heterogen – gemischte Zielgruppen (Industrie + Studierende)</t>
  </si>
  <si>
    <t>berufliche Aus-/Weiterbildung | Hochschulbildung</t>
  </si>
  <si>
    <t>Lernende können Innovationspotenziale KI-gestützter Müllsortierung und robotischer Kreislaufwirtschaft für das eigene produzierende Unternehmen einschätzen und bewerten.</t>
  </si>
  <si>
    <t>F (Verständnis der Technologie), P (Innovationshaltung, Bewertung eigener Relevanz), S (Diskurs in heterogener Gruppe)</t>
  </si>
  <si>
    <t>kognitiv | affektiv (Innovationsoffenheit)</t>
  </si>
  <si>
    <t>überwiegend 2. Verstehen, 5. Bewerten</t>
  </si>
  <si>
    <t>konzeptuell (Kreislaufwirtschaft, KI-Sortierung), metakognitiv (Transfer aufs eigene Geschäft)</t>
  </si>
  <si>
    <t>1) Funktionsprinzip KI-Müllsortierung erläutern [Verstehen]  2) Robotik-Anwendungsfälle einordnen [Verstehen]  3) Innovationspotenzial für eigenes Unternehmen bewerten [Bewerten]  4) Diskussionsbeitrag formulieren [Bewerten/S]</t>
  </si>
  <si>
    <t>Recycling/Remanufacturing – Kreislaufwirtschaft als Innovationsfeld</t>
  </si>
  <si>
    <t>didaktisch demonstrativ (Diskussions-/Demomodul)</t>
  </si>
  <si>
    <t>immateriell (Konzept/Demonstrator) – Müllsortierszenario</t>
  </si>
  <si>
    <t>nicht produktbezogen (Demonstrator)</t>
  </si>
  <si>
    <t>Kreislaufwirtschaft, KI-Objekterkennung, robotische Sortierung, Innovationsmanagement</t>
  </si>
  <si>
    <t>KI-gestützt (Objekterkennung), Robotik (Demonstrator)</t>
  </si>
  <si>
    <t>Demonstration + offenes Diskussionsszenario</t>
  </si>
  <si>
    <t>angeleitet (instructed) mit moderierter Diskussion</t>
  </si>
  <si>
    <t>Seminar / Workshop (Diskussion + Demonstration)</t>
  </si>
  <si>
    <t>physisch (Demonstrator) + Präsentationsraum</t>
  </si>
  <si>
    <t>RecycleBot-Demonstrator, KI-Sortier-Demo, Präsentationstechnik</t>
  </si>
  <si>
    <t>Einstiegs-/Sensibilisierungsmodul; öffnet vertiefende Module (Scan Your Trash, RecycleBot Labor)</t>
  </si>
  <si>
    <t>modular (Demonstrationsbaustein)</t>
  </si>
  <si>
    <t>lehrpersonenunabhängig, an Innovations-/Branchenkontexte anpassbar</t>
  </si>
  <si>
    <t>keine formale Prüfung; Diskussionsbeteiligung</t>
  </si>
  <si>
    <t>TN benennen mind. ein konkretes Innovationspotenzial für ihren Kontext</t>
  </si>
  <si>
    <t>Hochschule Aalen + Partner Hörger / GOA</t>
  </si>
  <si>
    <t>gering (Demonstrator vorhanden); Partnerschaft erforderlich</t>
  </si>
  <si>
    <t>offen: Kursgebühr / Innovationsworkshop für Industrie</t>
  </si>
  <si>
    <t>Status / Reifegrad</t>
  </si>
  <si>
    <t>To be developed (wenig Aufwand, Partnerschaft Hörger/GOA nötig)</t>
  </si>
  <si>
    <t>Hinweis: Vorausgefülltes Steckbrief-Blatt (begründete Annahmen aus dem Modulportfolio-Brainstorming). Werte in Spalte B prüfen/überschreiben. Anschließende Bewertung über das Blatt 'Modulbewertung'. Referenzlegende mit allen Ausprägungen: Blatt 'Modulsteckbrief' (Beispielmodul).</t>
  </si>
  <si>
    <t>M_SCANTRASH_02</t>
  </si>
  <si>
    <t>Scan Your Trash – Image Recognition verstehen und anwenden</t>
  </si>
  <si>
    <t>Modulverantwortliche:r (erprobtes Konzept)</t>
  </si>
  <si>
    <t>Schüler:innen, Bachelor (Einstieg)</t>
  </si>
  <si>
    <t>homogen (Einsteigergruppen)</t>
  </si>
  <si>
    <t>kleine bis mittlere Gruppe (3-10 TN)</t>
  </si>
  <si>
    <t>Hochschulbildung | Öffentlichkeit/Schule</t>
  </si>
  <si>
    <t>Lernende verstehen die Funktionsweise von Bildklassifikation und wenden eine Müll-Erkennungs-App selbstständig an.</t>
  </si>
  <si>
    <t>F (Funktionsweise Bildklassifikation), A (App anwenden), P (Selbstwirksamkeit im Umgang mit KI)</t>
  </si>
  <si>
    <t>kognitiv | psychomotorisch (App-Bedienung)</t>
  </si>
  <si>
    <t>überwiegend 2. Verstehen, 3. Anwenden</t>
  </si>
  <si>
    <t>konzeptuell (Bildklassifikation), prozedural (App-Anwendung)</t>
  </si>
  <si>
    <t>1) Grundprinzip Bildklassifikation erklären [Verstehen]  2) Trainings- vs. Erkennungsphase unterscheiden [Verstehen]  3) Müll-Erkennungs-App bedienen [Anwenden]  4) Erkennungsergebnisse interpretieren [Analysieren]</t>
  </si>
  <si>
    <t>Recycling/Remanufacturing – Abfallklassifikation</t>
  </si>
  <si>
    <t>didaktisch vereinfacht (Einsteigerszenario)</t>
  </si>
  <si>
    <t>digital (App) + reale Abfallobjekte</t>
  </si>
  <si>
    <t>nicht produktbezogen (Klassifikationsobjekte)</t>
  </si>
  <si>
    <t>Bildklassifikation, Objekterkennung, Trainingsdaten, KI-Grundlagen</t>
  </si>
  <si>
    <t>KI-gestützt (Objekterkennung), Datenerfassung</t>
  </si>
  <si>
    <t>Demonstration + geschlossenes Übungsszenario</t>
  </si>
  <si>
    <t>angeleitet (instructed), zunehmend selbstgesteuert</t>
  </si>
  <si>
    <t>Instrukteur:in / Moderator:in</t>
  </si>
  <si>
    <t>praktischer Laborkurs / Workshop</t>
  </si>
  <si>
    <t>1-5 bis 6-10</t>
  </si>
  <si>
    <t>physisch (Labor) + mobile Endgeräte</t>
  </si>
  <si>
    <t>Tablets/Smartphones mit App, Abfall-Anschauungsobjekte, Beamer</t>
  </si>
  <si>
    <t>Einstiegsmodul KI/Objekterkennung; Vorstufe zu RecycleBot Labor (YOLO)</t>
  </si>
  <si>
    <t>modular &amp; lehrpersonenunabhängig</t>
  </si>
  <si>
    <t>breit übertragbar (Schule bis Hochschule), erprobt</t>
  </si>
  <si>
    <t>Teilnehmerfeedback | Kompetenzmessung (einfacher Wissenscheck)</t>
  </si>
  <si>
    <t>praktische Anwendung + kurzer Wissenscheck</t>
  </si>
  <si>
    <t>TN bedienen App eigenständig und erklären das Grundprinzip korrekt</t>
  </si>
  <si>
    <t>Hochschule Aalen</t>
  </si>
  <si>
    <t>sehr gering (vorhandene Endgeräte/App)</t>
  </si>
  <si>
    <t>curricular + Schüler:innen-Outreach / offen</t>
  </si>
  <si>
    <t>Fertig, erprobt mit Schüler:innen und Studierenden</t>
  </si>
  <si>
    <t>M_RECBOTLAB_03</t>
  </si>
  <si>
    <t>RecycleBot Labor – YOLO-Training und robotische Umsetzung</t>
  </si>
  <si>
    <t>Modulverantwortliche:r (didaktisches Konzept zu erstellen)</t>
  </si>
  <si>
    <t>Master, Graduate Campus, Industrie (fortgeschritten)</t>
  </si>
  <si>
    <t>Vorwissen Anwendung (Python-Grundlagen, KI-Grundkonzepte)</t>
  </si>
  <si>
    <t>heterogen – Wissen (Studierende + Industrie)</t>
  </si>
  <si>
    <t>Hochschulbildung | berufliche Aus-/Weiterbildung | Forschung</t>
  </si>
  <si>
    <t>Lernende entwickeln ein eigenes Objekterkennungsmodell (YOLO) und implementieren es auf einer Roboterzelle zur automatisierten Sortierung.</t>
  </si>
  <si>
    <t>F (ML-Modellierung, Robotik-Integration), A (Implementierung umsetzen), P (Umgang mit Modellunsicherheit)</t>
  </si>
  <si>
    <t>kognitiv | psychomotorisch (Roboterzelle)</t>
  </si>
  <si>
    <t>überwiegend 3. Anwenden, 5. Bewerten, 6. Erschaffen</t>
  </si>
  <si>
    <t>prozedural (Training, Deployment), konzeptuell (CNN/YOLO), metakognitiv (Modellgüte einschätzen)</t>
  </si>
  <si>
    <t>1) Trainingsdaten annotieren [Anwenden]  2) YOLO-Modell trainieren [Erschaffen]  3) Modellgüte bewerten [Bewerten]  4) Modell auf Roboterzelle deployen [Anwenden]</t>
  </si>
  <si>
    <t>Recycling/Remanufacturing – automatisierte Sortierung</t>
  </si>
  <si>
    <t>realitätsnah (Laborbetrieb, reale Roboterzelle)</t>
  </si>
  <si>
    <t>digital (Modell) + physisch (Roboterzelle)</t>
  </si>
  <si>
    <t>nicht produktbezogen (Sortierobjekte)</t>
  </si>
  <si>
    <t>YOLO/Objekterkennung, Datenannotation, Robotersteuerung, Pick-and-Place</t>
  </si>
  <si>
    <t>KI (Objekterkennung), digitale Fertigung, Automatisierungstechnik</t>
  </si>
  <si>
    <t>offenes Szenario (fehlererlaubt, iteratives Training)</t>
  </si>
  <si>
    <t>selbstgesteuert/selbstreguliert mit Coaching</t>
  </si>
  <si>
    <t>praktischer Laborkurs / Projektarbeit</t>
  </si>
  <si>
    <t>physisch (RecycleBot-Labor), hands-on</t>
  </si>
  <si>
    <t>Roboterzelle, GPU-Workstation, Annotationstools, Sortierobjekte</t>
  </si>
  <si>
    <t>Aufbaumodul; baut auf Scan Your Trash + Python Basics auf; Folge: HRI/Mobile Robotik</t>
  </si>
  <si>
    <t>modular (Labor + Software-Stack)</t>
  </si>
  <si>
    <t>lehrpersonenunabhängig nach Konzeptfertigstellung; auf andere Sortieraufgaben übertragbar</t>
  </si>
  <si>
    <t>Kompetenzmessung | Teilnehmerfeedback | Transfer in reale Fabrik</t>
  </si>
  <si>
    <t>praktische Prüfung (funktionsfähiges Modell + Deployment)</t>
  </si>
  <si>
    <t>trainiertes Modell sortiert Zielklassen zuverlässig auf der Roboterzelle</t>
  </si>
  <si>
    <t>Hochschule Aalen + Industriepartner</t>
  </si>
  <si>
    <t>mittel (Roboterzelle/GPU vorhanden, Betrieb)</t>
  </si>
  <si>
    <t>offen: Kursgebühr (Graduate Campus) / curricular / Industrie-Weiterbildung</t>
  </si>
  <si>
    <t>Existierender Laborbetrieb, didaktisches Konzept fehlt noch</t>
  </si>
  <si>
    <t>M_ROBPLAY_04</t>
  </si>
  <si>
    <t>Let’s Play with Robots – Einstieg in Industrierobotik</t>
  </si>
  <si>
    <t>Modulverantwortliche:r (erprobt)</t>
  </si>
  <si>
    <t>Bachelor, Master, Industrie (Einsteiger)</t>
  </si>
  <si>
    <t>kein Vorwissen bis Grundlagen</t>
  </si>
  <si>
    <t>heterogen – gemischte Zielgruppen</t>
  </si>
  <si>
    <t>Hochschulbildung | berufliche Aus-/Weiterbildung</t>
  </si>
  <si>
    <t>Lernende programmieren niedrigschwellig Universal Robots / Neura bzw. Unity-basierte Robotersysteme und verstehen Grundprinzipien der Industrierobotik.</t>
  </si>
  <si>
    <t>F (Roboterprogrammierung), A (Programm umsetzen/testen), P (Hemmschwellenabbau gegenüber Robotik)</t>
  </si>
  <si>
    <t>kognitiv | psychomotorisch (Roboterbedienung)</t>
  </si>
  <si>
    <t>prozedural (Programmierung), konzeptuell (Kinematik/Sicherheit)</t>
  </si>
  <si>
    <t>1) Roboteraufbau und Achsen benennen [Verstehen]  2) einfache Bewegungsprogramme erstellen [Anwenden]  3) Programm testen und korrigieren [Anwenden]  4) Sicherheitsregeln anwenden [Anwenden]</t>
  </si>
  <si>
    <t>Produktlebenszyklus – Fertigung/Montage (allgemein)</t>
  </si>
  <si>
    <t>didaktisch vereinfacht (Einstiegsszenario)</t>
  </si>
  <si>
    <t>physisch (Roboter) bzw. digital (Unity)</t>
  </si>
  <si>
    <t>nicht produktbezogen (Bewegungsaufgaben)</t>
  </si>
  <si>
    <t>Industrierobotik, Roboterprogrammierung, Bahnplanung, Sicherheit (UR/Neura/Unity)</t>
  </si>
  <si>
    <t>Automatisierungstechnik, Simulation (Unity)</t>
  </si>
  <si>
    <t>Instrukteur:in / Coach</t>
  </si>
  <si>
    <t>physisch (Roboterlabor) ggf. digital unterstützt</t>
  </si>
  <si>
    <t>Universal Robots / Neura, Unity-Setup, Greifer, Übungsobjekte</t>
  </si>
  <si>
    <t>Einstiegsmodul Robotik; Vorstufe zu Advanced Pick-and-Place, HRI, Mobile Robotik</t>
  </si>
  <si>
    <t>breit übertragbar, erprobt</t>
  </si>
  <si>
    <t>Teilnehmerfeedback | Kompetenzmessung</t>
  </si>
  <si>
    <t>praktische Anwendung (lauffähiges Programm)</t>
  </si>
  <si>
    <t>TN erstellen und testen ein einfaches Bewegungsprogramm eigenständig</t>
  </si>
  <si>
    <t>gering (Roboter vorhanden)</t>
  </si>
  <si>
    <t>curricular + offen (Industrie-Schnupperkurs)</t>
  </si>
  <si>
    <t>Fertig, erprobt mit Studierenden</t>
  </si>
  <si>
    <t>M_ROBAPP_05</t>
  </si>
  <si>
    <t>Robotik-Anwendungen: Lego-Sortierung &amp; Paint Robot</t>
  </si>
  <si>
    <t>Modulverantwortliche:r (Demonstrator)</t>
  </si>
  <si>
    <t>Bachelor, Schüler:innen, Öffentlichkeit</t>
  </si>
  <si>
    <t>homogen / Öffentlichkeit</t>
  </si>
  <si>
    <t>variabel (Demonstrationssetting)</t>
  </si>
  <si>
    <t>Hochschulbildung | Öffentlichkeitsarbeit (Tag der offenen Tür)</t>
  </si>
  <si>
    <t>Lernende erleben grundlegende Pick-and-Place- und Bahnplanungsprinzipien anhand spielerischer Roboterszenarien und werden für Robotik motiviert.</t>
  </si>
  <si>
    <t>F (Grundprinzipien erkennen), P (Motivation/Begeisterung), A (einfaches Ausprobieren)</t>
  </si>
  <si>
    <t>kognitiv | affektiv (Motivation)</t>
  </si>
  <si>
    <t>überwiegend 1. Erinnern, 2. Verstehen</t>
  </si>
  <si>
    <t>konzeptuell (Pick-and-Place, Bahnplanung)</t>
  </si>
  <si>
    <t>1) Pick-and-Place-Prinzip beschreiben [Verstehen]  2) Bahnplanung am Beispiel nachvollziehen [Verstehen]  3) Szenario beobachten/auslösen [Anwenden]</t>
  </si>
  <si>
    <t>Produktlebenszyklus – Montage/Handhabung (demonstrativ)</t>
  </si>
  <si>
    <t>didaktisch demonstrativ (Motivationsmodul)</t>
  </si>
  <si>
    <t>physisch (Lego/Paint-Demonstrator)</t>
  </si>
  <si>
    <t>2 - 5 (Sortier-/Lackierobjekte)</t>
  </si>
  <si>
    <t>Pick-and-Place, Bahnplanung, Robotik-Grundlagen, Demonstration</t>
  </si>
  <si>
    <t>Präsentator:in / Moderator:in</t>
  </si>
  <si>
    <t>Demonstration / Tutorial</t>
  </si>
  <si>
    <t>variabel (Einzel bis große Gruppe)</t>
  </si>
  <si>
    <t>1-5 bis &gt;20 (Event)</t>
  </si>
  <si>
    <t>physisch (Demonstrator, Messe/Foyer)</t>
  </si>
  <si>
    <t>Lego-Sortierzelle, Paint-Roboter, Anschauungsobjekte</t>
  </si>
  <si>
    <t>Motivations-/Einstiegsmodul; verweist auf Let’s Play with Robots</t>
  </si>
  <si>
    <t>lehrpersonenunabhängig, eventtauglich</t>
  </si>
  <si>
    <t>keine (Demonstrationscharakter)</t>
  </si>
  <si>
    <t>TN benennen Pick-and-Place-Prinzip; Motivationswirkung erzielt</t>
  </si>
  <si>
    <t>gering (Demonstrator vorhanden)</t>
  </si>
  <si>
    <t>Outreach / curricular-begleitend</t>
  </si>
  <si>
    <t>Fertig, eher Demonstrator (Tag der offenen Tür)</t>
  </si>
  <si>
    <t>M_DEMOFAB_06</t>
  </si>
  <si>
    <t>Demo-Fabrik Feldmann – KI-gestützte Produktionssimulation</t>
  </si>
  <si>
    <t>Sebastian Feldmann (Aufbau Hannover Messe)</t>
  </si>
  <si>
    <t>Industrie, Messepublikum, Bachelor/Master</t>
  </si>
  <si>
    <t>variabel (Demonstration)</t>
  </si>
  <si>
    <t>berufliche Aus-/Weiterbildung | Öffentlichkeit | Hochschulbildung</t>
  </si>
  <si>
    <t>Lernende verstehen datengetriebene Produktionsprozesse anhand einer modularen Lernfabrik mit KI-Integration.</t>
  </si>
  <si>
    <t>F (Verständnis datengetriebener Produktion), P (Innovationsoffenheit), S (Fachgespräch)</t>
  </si>
  <si>
    <t>kognitiv | affektiv</t>
  </si>
  <si>
    <t>überwiegend 2. Verstehen, 4. Analysieren</t>
  </si>
  <si>
    <t>konzeptuell (CPS, KI-Integration, Datenfluss)</t>
  </si>
  <si>
    <t>1) Module der Lernfabrik benennen [Verstehen]  2) Datenfluss nachvollziehen [Verstehen]  3) KI-Eingriffspunkte analysieren [Analysieren]  4) Mehrwert datengetriebener Produktion bewerten [Bewerten]</t>
  </si>
  <si>
    <t>Produktlebenszyklus – Fertigung (vernetzt, datengetrieben)</t>
  </si>
  <si>
    <t>Serienproduktion (simuliert) / modular</t>
  </si>
  <si>
    <t>physisch (modulare Lernfabrik) + digital (Daten)</t>
  </si>
  <si>
    <t>konfigurierbar (modulare Stationen)</t>
  </si>
  <si>
    <t>KI in Produktion, Datenintegration, modulare Lernfabrik, CPS</t>
  </si>
  <si>
    <t>KI/Datenverarbeitung, Datenmanagement &amp; Visualisierung, Automatisierungstechnik</t>
  </si>
  <si>
    <t>Demonstration / Business-Szenario</t>
  </si>
  <si>
    <t>variabel</t>
  </si>
  <si>
    <t>1-5 bis &gt;20 (Messe)</t>
  </si>
  <si>
    <t>physisch (Demo-Fabrik, Messestand/Labor)</t>
  </si>
  <si>
    <t>modulare Lernfabrik (Feldmann), KI-Dashboard, Präsentationstechnik</t>
  </si>
  <si>
    <t>Überblicks-/Einstiegsmodul; öffnet I4.0-Lernfabrik, Data Analytics, Factory Supervision</t>
  </si>
  <si>
    <t>modular (Stationsaufbau)</t>
  </si>
  <si>
    <t>lehrpersonenunabhängig, messetauglich</t>
  </si>
  <si>
    <t>keine (Demonstration)</t>
  </si>
  <si>
    <t>TN erklären Mehrwert datengetriebener Produktion an einem Stationsbeispiel</t>
  </si>
  <si>
    <t>Hochschule Aalen (Team Feldmann)</t>
  </si>
  <si>
    <t>mittel (Aufbau vorhanden)</t>
  </si>
  <si>
    <t>Demonstration / Industrie-Akquise / curricular</t>
  </si>
  <si>
    <t>Fertig (Aufbau für Hannover Messe vorhanden)</t>
  </si>
  <si>
    <t>M_ASSIST_07</t>
  </si>
  <si>
    <t>Intelligente Assistenzsysteme – Pick-by-Light &amp; Werkerführung</t>
  </si>
  <si>
    <t>Modulverantwortliche:r (Kontext REPAIR, Konzept offen)</t>
  </si>
  <si>
    <t>Industrie (Montage/Logistik)</t>
  </si>
  <si>
    <t>Vorwissen Grundlagen (Montage-/Logistikprozesse)</t>
  </si>
  <si>
    <t>homogen (Industrie)</t>
  </si>
  <si>
    <t>berufliche Aus-/Weiterbildung</t>
  </si>
  <si>
    <t>Lernende erkunden digitale Assistenzsysteme (Pick-by-Light, Werkerführung) und bewerten deren kognitive Unterstützung in Montage- und Logistikprozessen.</t>
  </si>
  <si>
    <t>F (Assistenzsysteme verstehen/anwenden), A (Prozessunterstützung umsetzen), P (Akzeptanz/Bewertung)</t>
  </si>
  <si>
    <t>kognitiv | psychomotorisch (geführte Montage)</t>
  </si>
  <si>
    <t>überwiegend 3. Anwenden, 4. Analysieren</t>
  </si>
  <si>
    <t>konzeptuell (kognitive Assistenz), prozedural (geführte Montage)</t>
  </si>
  <si>
    <t>1) Assistenzsystem-Typen benennen [Verstehen]  2) Pick-by-Light-geführte Montage durchführen [Anwenden]  3) Unterstützungswirkung analysieren [Analysieren]  4) Eignung für eigenen Prozess bewerten [Bewerten]</t>
  </si>
  <si>
    <t>Produktlebenszyklus – Montage &amp; Logistik</t>
  </si>
  <si>
    <t>Serien-/Kleinserienproduktion (Montagearbeitsplatz)</t>
  </si>
  <si>
    <t>physisch (Montagearbeitsplatz) + digital (Assistenz)</t>
  </si>
  <si>
    <t>6 - 20 (Montageteile)</t>
  </si>
  <si>
    <t>Pick-by-Light, Werkerführung, kognitive Assistenz, Montage/Logistik</t>
  </si>
  <si>
    <t>Assistenzsysteme, Datenerfassung, Datenmanagement &amp; Visualisierung</t>
  </si>
  <si>
    <t>Demonstration + geschlossenes Explorationsszenario</t>
  </si>
  <si>
    <t>angeleitet (instructed) bis selbstgesteuert</t>
  </si>
  <si>
    <t>physisch (Montagearbeitsplatz), digital unterstützt</t>
  </si>
  <si>
    <t>Pick-by-Light-Arbeitsplatz, Werkerführungssoftware, Montagekomponenten</t>
  </si>
  <si>
    <t>Aufbaumodul Assistenz; Bezug zu HRI und Data Analytics; REPAIR-Kontext</t>
  </si>
  <si>
    <t>modular (Arbeitsplatz-Baustein)</t>
  </si>
  <si>
    <t>auf andere Montage-/Logistikprozesse übertragbar (Konzept noch zu finalisieren)</t>
  </si>
  <si>
    <t>Teilnehmerfeedback | Transfer in reale Fabrik</t>
  </si>
  <si>
    <t>praktische Anwendung + Bewertungsdiskussion</t>
  </si>
  <si>
    <t>TN führen geführte Montage durch und bewerten Assistenznutzen begründet</t>
  </si>
  <si>
    <t>Hochschule Aalen (REPAIR)</t>
  </si>
  <si>
    <t>mittel (Arbeitsplatz im Aufbau)</t>
  </si>
  <si>
    <t>Industrie-Weiterbildung / Projektkontext REPAIR</t>
  </si>
  <si>
    <t>In Entwicklung (REPAIR), noch kein fertiges Schulungskonzept</t>
  </si>
  <si>
    <t>M_PNPREAS_08</t>
  </si>
  <si>
    <t>Advanced Pick-and-Place &amp; Reassemble Taskboard</t>
  </si>
  <si>
    <t>Sharon / APS (Technik nahezu fertig)</t>
  </si>
  <si>
    <t>Industrie, Master (fortgeschritten)</t>
  </si>
  <si>
    <t>Vorwissen Anwendung (Robotik-Grundlagen)</t>
  </si>
  <si>
    <t>heterogen – Wissen</t>
  </si>
  <si>
    <t>berufliche Aus-/Weiterbildung | Hochschulbildung | Forschung</t>
  </si>
  <si>
    <t>Lernende programmieren und analysieren robotische Montage-/Demontageprozesse (Low-Code) auf einem Reassemble-Taskboard im Repair-Kontext.</t>
  </si>
  <si>
    <t>F (Low-Code-Programmierung, Prozessanalyse), A (Montage/Demontage umsetzen), P (Umgang mit Prozessvarianz)</t>
  </si>
  <si>
    <t>kognitiv | psychomotorisch</t>
  </si>
  <si>
    <t>überwiegend 3. Anwenden, 4. Analysieren, 6. Erschaffen</t>
  </si>
  <si>
    <t>prozedural (Programmierung, (De-)Montage), konzeptuell (Taskboard-Logik)</t>
  </si>
  <si>
    <t>1) Taskboard-Aufgaben programmieren [Anwenden]  2) Montage-/Demontagesequenz erstellen [Erschaffen]  3) Prozesszeiten/Fehler analysieren [Analysieren]  4) Sequenz optimieren [Bewerten]</t>
  </si>
  <si>
    <t>Recycling/Remanufacturing – (De-)Montage / Repair</t>
  </si>
  <si>
    <t>Kleinserien-/Einzelfertigung (Taskboard)</t>
  </si>
  <si>
    <t>physisch (Taskboard) + digital (Low-Code)</t>
  </si>
  <si>
    <t>6 - 20 (Taskboard-Elemente)</t>
  </si>
  <si>
    <t>Pick-and-Place, Reassembly, Low-Code-Robotik, Prozessanalyse, Repair</t>
  </si>
  <si>
    <t>Automatisierungstechnik, digitale Fertigung, Datenerfassung</t>
  </si>
  <si>
    <t>offenes Szenario (variable (De-)Montageaufgaben)</t>
  </si>
  <si>
    <t>1 – 2 Tage</t>
  </si>
  <si>
    <t>physisch (Robotik-/Repair-Labor), hands-on</t>
  </si>
  <si>
    <t>Roboter, Reassemble-Taskboard, Low-Code-Umgebung (APS), Werkzeug</t>
  </si>
  <si>
    <t>Aufbaumodul; baut auf Let’s Play with Robots auf; Bezug Reman-/Repair-Module</t>
  </si>
  <si>
    <t>modular (Taskboard-Baustein)</t>
  </si>
  <si>
    <t>auf andere (De-)Montageaufgaben übertragbar</t>
  </si>
  <si>
    <t>Kompetenzmessung | Transfer in reale Fabrik</t>
  </si>
  <si>
    <t>praktische Prüfung (funktionierende (De-)Montagesequenz)</t>
  </si>
  <si>
    <t>TN realisieren und optimieren eine robotische (De-)Montagesequenz</t>
  </si>
  <si>
    <t>Hochschule Aalen (APS)</t>
  </si>
  <si>
    <t>mittel (Technik nahezu fertig)</t>
  </si>
  <si>
    <t>Industrie-Weiterbildung / curricular / Forschung</t>
  </si>
  <si>
    <t>Technik nahezu fertig (Sharon, APS)</t>
  </si>
  <si>
    <t>M_I40LF_09</t>
  </si>
  <si>
    <t>Industrie 4.0 Lernfabrik – Vernetzte Produktionssysteme</t>
  </si>
  <si>
    <t>Nicole / Steffen (bestehend, unterteilbar)</t>
  </si>
  <si>
    <t>Industrie, Bachelor/Master</t>
  </si>
  <si>
    <t>Vorwissen Grundlagen (Produktion/IT)</t>
  </si>
  <si>
    <t>Lernende verstehen und wenden IoT-Integration, Datenvernetzung und cyber-physische Systeme in der Fertigung an.</t>
  </si>
  <si>
    <t>F (IoT/CPS-Integration), A (Vernetzung umsetzen), S (Schnittstellen abstimmen)</t>
  </si>
  <si>
    <t>kognitiv | psychomotorisch (Konfiguration)</t>
  </si>
  <si>
    <t>konzeptuell (CPS, IoT), prozedural (Integration/Konfiguration)</t>
  </si>
  <si>
    <t>1) I4.0-Architektur beschreiben [Verstehen]  2) IoT-Komponenten integrieren [Anwenden]  3) Datenfluss analysieren [Analysieren]  4) Vernetzungslösung bewerten [Bewerten]</t>
  </si>
  <si>
    <t>Produktlebenszyklus – Fertigung (vernetzt)</t>
  </si>
  <si>
    <t>Serienproduktion (Lernfabrik)</t>
  </si>
  <si>
    <t>physisch (Lernfabrik) + digital (Datennetz)</t>
  </si>
  <si>
    <t>konfigurierbar (Stationen)</t>
  </si>
  <si>
    <t>Industrie 4.0, IoT, CPS, Datenvernetzung, Schnittstellen</t>
  </si>
  <si>
    <t>Netzwerktechnologien, Datenerfassung, Datenmanagement &amp; Visualisierung, Automatisierungstechnik</t>
  </si>
  <si>
    <t>Demonstration + geschlossenes/offenes Anwendungsszenario</t>
  </si>
  <si>
    <t>physisch (I4.0-Lernfabrik), digital unterstützt</t>
  </si>
  <si>
    <t>vernetzte Lernfabrik-Stationen, IoT-Gateways, Visualisierungssoftware</t>
  </si>
  <si>
    <t>Überblicks-/Anwendungsmodul; unterteilbar; Bezug Data Analytics, Factory Supervision</t>
  </si>
  <si>
    <t>modular (unterteilbar in Teilmodule)</t>
  </si>
  <si>
    <t>lehrpersonenunabhängig nach Modularisierung</t>
  </si>
  <si>
    <t>Teilnehmerfeedback | Kompetenzmessung | Transfer in reale Fabrik</t>
  </si>
  <si>
    <t>praktische Anwendung + Wissenscheck</t>
  </si>
  <si>
    <t>TN integrieren eine IoT-Komponente und erklären den Datenfluss</t>
  </si>
  <si>
    <t>mittel (Lernfabrik vorhanden)</t>
  </si>
  <si>
    <t>curricular + Industrie-Weiterbildung</t>
  </si>
  <si>
    <t>Bestehend (Nicole/Steffen), sinnvoll weiter unterteilbar</t>
  </si>
  <si>
    <t>M_FACSUP_10</t>
  </si>
  <si>
    <t>Factory Supervision &amp; KI-Cockpit</t>
  </si>
  <si>
    <t>Modulverantwortliche:r (Technik fertig, Kursdidaktik offen)</t>
  </si>
  <si>
    <t>Industrie (fortgeschritten)</t>
  </si>
  <si>
    <t>Vorwissen Vertieft (Produktionsdaten, Dashboards)</t>
  </si>
  <si>
    <t>Lernende entwickeln und bewerten datenbasierte Dashboards für Produktionsüberwachung und 360°-Fabriktransparenz.</t>
  </si>
  <si>
    <t>F (Dashboard-Entwicklung, Kennzahlen), A (Cockpit umsetzen), P (Entscheidungsverantwortung)</t>
  </si>
  <si>
    <t>überwiegend 4. Analysieren, 5. Bewerten, 6. Erschaffen</t>
  </si>
  <si>
    <t>prozedural (Dashboard-Bau), konzeptuell (KPIs, Monitoring), metakognitiv (Entscheidungsqualität)</t>
  </si>
  <si>
    <t>1) relevante KPIs auswählen [Bewerten]  2) Dashboard erstellen [Erschaffen]  3) Produktionszustand analysieren [Analysieren]  4) Dashboard-Güte bewerten [Bewerten]</t>
  </si>
  <si>
    <t>Produktlebenszyklus – Fertigung (Monitoring)</t>
  </si>
  <si>
    <t>Serienproduktion (Überwachungskontext)</t>
  </si>
  <si>
    <t>digital (Dashboard/Cockpit)</t>
  </si>
  <si>
    <t>nicht produktbezogen (Datenobjekte)</t>
  </si>
  <si>
    <t>Produktionsüberwachung, KI-Cockpit, Dashboards, KPIs, 360°-Transparenz</t>
  </si>
  <si>
    <t>Datenmanagement &amp; Visualisierung, KI/Datenverarbeitung, Datenerfassung</t>
  </si>
  <si>
    <t>offenes Szenario (Dashboard-Entwicklung)</t>
  </si>
  <si>
    <t>Workshop / Projektarbeit</t>
  </si>
  <si>
    <t>physisch/hybrid (Datenlabor) + reale Fabrikdaten</t>
  </si>
  <si>
    <t>BI-/Dashboard-Tools, Produktionsdatenanbindung, Workstations</t>
  </si>
  <si>
    <t>Aufbaumodul; baut auf Data Analytics / I4.0-Lernfabrik auf</t>
  </si>
  <si>
    <t>modular (didaktischer Rahmen noch zu ergänzen)</t>
  </si>
  <si>
    <t>auf andere Produktionskontexte übertragbar</t>
  </si>
  <si>
    <t>Kompetenzmessung | Transfer in reale Fabrik | ökonomische Wirkung</t>
  </si>
  <si>
    <t>praktische Prüfung (lauffähiges Dashboard)</t>
  </si>
  <si>
    <t>TN liefern ein entscheidungsrelevantes Produktions-Dashboard</t>
  </si>
  <si>
    <t>mittel (Technik fertig, Kursrahmen zu bauen)</t>
  </si>
  <si>
    <t>Industrie-Weiterbildung</t>
  </si>
  <si>
    <t>Technik fertig; muss noch zu einem 'Kurs' ausgebaut werden</t>
  </si>
  <si>
    <t>M_DATAVIZ_11</t>
  </si>
  <si>
    <t>Data Analytics &amp; Visualisierung für Manufacturing</t>
  </si>
  <si>
    <t>Modulverantwortliche:r (Graduate Campus Data Analytics)</t>
  </si>
  <si>
    <t>Master, Graduate Campus, Industrie</t>
  </si>
  <si>
    <t>Vorwissen Grundlagen (Python/Daten)</t>
  </si>
  <si>
    <t>Lernende explorieren Produktionsdaten, entwickeln Dashboards und unterstützen datenbasiert Entscheidungen in Produktionsumgebungen.</t>
  </si>
  <si>
    <t>F (Datenexploration/Visualisierung), A (Entscheidungsunterstützung umsetzen), P (datenkritisches Urteil)</t>
  </si>
  <si>
    <t>prozedural (Analyse/Visualisierung), konzeptuell (Datenmodelle), metakognitiv (Entscheidungslogik)</t>
  </si>
  <si>
    <t>1) Produktionsdatensatz explorieren [Analysieren]  2) Visualisierung erstellen [Anwenden]  3) Muster interpretieren [Analysieren]  4) Entscheidung ableiten/begründen [Bewerten]</t>
  </si>
  <si>
    <t>Produktlebenszyklus – Fertigung (Datenanalyse)</t>
  </si>
  <si>
    <t>Serienproduktion (Datenkontext)</t>
  </si>
  <si>
    <t>digital (Daten/Dashboards)</t>
  </si>
  <si>
    <t>nicht produktbezogen (Datensätze)</t>
  </si>
  <si>
    <t>Data Analytics, Visualisierung, Dashboards, Entscheidungsunterstützung</t>
  </si>
  <si>
    <t>Datenverarbeitung (z. B. KI), Datenmanagement &amp; Visualisierung</t>
  </si>
  <si>
    <t>offenes Szenario (Datenexploration)</t>
  </si>
  <si>
    <t>Coach / Moderator:in</t>
  </si>
  <si>
    <t>hybrid (Datenlabor / online)</t>
  </si>
  <si>
    <t>Python/BI-Umgebung, Produktionsdatensätze, Workstations</t>
  </si>
  <si>
    <t>Kernmodul Daten; weiter unterteilbar; Maschinenbezug ergänzen; Bezug Factory Supervision</t>
  </si>
  <si>
    <t>modular (unterteilbar)</t>
  </si>
  <si>
    <t>lehrpersonenunabhängig; Maschinenbezug noch zu stärken</t>
  </si>
  <si>
    <t>Kompetenzmessung | Teilnehmerfeedback</t>
  </si>
  <si>
    <t>praktische Prüfung (Analyse + Dashboard)</t>
  </si>
  <si>
    <t>TN leiten eine begründete datenbasierte Entscheidung ab</t>
  </si>
  <si>
    <t>Hochschule Aalen (Graduate Campus)</t>
  </si>
  <si>
    <t>gering (Software/Daten)</t>
  </si>
  <si>
    <t>Graduate-Campus-Kursgebühr / curricular</t>
  </si>
  <si>
    <t>Läuft im Graduate Campus 'Data Analytics'; aktuell Python-fokussiert, Maschinenbezug fehlt</t>
  </si>
  <si>
    <t>M_PYBASE_12</t>
  </si>
  <si>
    <t>Python Basics für Produktionsdaten</t>
  </si>
  <si>
    <t>Modulverantwortliche:r (bestehend)</t>
  </si>
  <si>
    <t>Bachelor/Master, Industrie (Einsteiger)</t>
  </si>
  <si>
    <t>Lernende analysieren, verarbeiten und visualisieren industrielle Daten mit Python-Grundlagen.</t>
  </si>
  <si>
    <t>F (Python-Grundlagen), A (Skripte umsetzen), P (Selbstwirksamkeit Programmieren)</t>
  </si>
  <si>
    <t>prozedural (Programmierung), konzeptuell (Datentypen/-strukturen)</t>
  </si>
  <si>
    <t>1) Python-Grundkonstrukte erklären [Verstehen]  2) Daten einlesen/aufbereiten [Anwenden]  3) Visualisierung erstellen [Anwenden]  4) einfache Auswertung durchführen [Analysieren]</t>
  </si>
  <si>
    <t>Produktlebenszyklus – Fertigung (Datenvorverarbeitung)</t>
  </si>
  <si>
    <t>datenbezogen (kein direkter Maschinenbezug)</t>
  </si>
  <si>
    <t>digital (Datensätze/Skripte)</t>
  </si>
  <si>
    <t>Python-Grundlagen, Datenanalyse, Visualisierung, industrielle Daten</t>
  </si>
  <si>
    <t>Datenverarbeitung, Datenmanagement &amp; Visualisierung</t>
  </si>
  <si>
    <t>geschlossenes Übungsszenario, zunehmend offen</t>
  </si>
  <si>
    <t>Tutorial / praktischer Laborkurs</t>
  </si>
  <si>
    <t>hybrid (PC-Pool / online)</t>
  </si>
  <si>
    <t>Python-Umgebung (Jupyter), Beispieldatensätze, Workstations</t>
  </si>
  <si>
    <t>Grundlagenmodul; Vorstufe zu Data Analytics, RecycleBot Labor, Factory Supervision</t>
  </si>
  <si>
    <t>breit übertragbar; Maschinendatenanbindung als Erweiterung</t>
  </si>
  <si>
    <t>praktische Prüfung (kleines Analyse-Skript)</t>
  </si>
  <si>
    <t>TN schreiben ein lauffähiges Skript zur Datenauswertung</t>
  </si>
  <si>
    <t>sehr gering (Open-Source-Stack)</t>
  </si>
  <si>
    <t>curricular / Graduate Campus</t>
  </si>
  <si>
    <t>Vorhanden; echte Maschinendaten-Anbindung ('Daten aus der Maschine') fehlt noch</t>
  </si>
  <si>
    <t>M_SENSOR_13</t>
  </si>
  <si>
    <t>Sensorik &amp; Messtechnik mit der Learning Factory Box</t>
  </si>
  <si>
    <t>Modulverantwortliche:r (laufend, FactoryBox in Finalisierung)</t>
  </si>
  <si>
    <t>Bachelor, Schüler:innen (fortgeschritten)</t>
  </si>
  <si>
    <t>homogen (Studierende)</t>
  </si>
  <si>
    <t>Lernende verstehen industrielle Sensorik und erfassen Messdaten mit Arduino-/FactoryBox-Demonstratoren.</t>
  </si>
  <si>
    <t>F (Sensorik/Messtechnik), A (Messaufbau umsetzen), P (Genauigkeit/Sorgfalt)</t>
  </si>
  <si>
    <t>kognitiv | psychomotorisch (Verdrahtung/Aufbau)</t>
  </si>
  <si>
    <t>konzeptuell (Sensorprinzipien), prozedural (Messaufbau, Datenerfassung)</t>
  </si>
  <si>
    <t>1) Sensorprinzipien benennen [Verstehen]  2) Messaufbau realisieren [Anwenden]  3) Messdaten erfassen [Anwenden]  4) Messwerte interpretieren [Analysieren]</t>
  </si>
  <si>
    <t>Produktlebenszyklus – Fertigung (Messung/Qualität)</t>
  </si>
  <si>
    <t>didaktisch vereinfacht (Demonstrator)</t>
  </si>
  <si>
    <t>physisch (Sensor-Demonstrator/FactoryBox)</t>
  </si>
  <si>
    <t>2 - 5 (Sensoren/Module)</t>
  </si>
  <si>
    <t>Sensorik, Messtechnik, Datenerfassung, Arduino/FactoryBox</t>
  </si>
  <si>
    <t>Datenerfassung, Automatisierungstechnik</t>
  </si>
  <si>
    <t>geschlossenes Laborszenario</t>
  </si>
  <si>
    <t>physisch (Sensoriklabor)</t>
  </si>
  <si>
    <t>Arduino-Sets / Learning Factory Box, Sensoren, Messmittel, Laptops</t>
  </si>
  <si>
    <t>Grundlagenmodul Sensorik; Bezug zu Data Analytics und I4.0-Lernfabrik</t>
  </si>
  <si>
    <t>breit übertragbar (Migration Arduino -&gt; FactoryBox geplant)</t>
  </si>
  <si>
    <t>praktische Anwendung (funktionierender Messaufbau)</t>
  </si>
  <si>
    <t>TN realisieren einen Messaufbau und erfassen plausible Daten</t>
  </si>
  <si>
    <t>Hochschule Aalen (learningfactorybox.com)</t>
  </si>
  <si>
    <t>gering (Arduino/FactoryBox)</t>
  </si>
  <si>
    <t>curricular / Schulungsmaterial FactoryBox</t>
  </si>
  <si>
    <t>Laufendes Konzept (aktuell Arduino); FactoryBox-Unterlagen kurz vor Fertigstellung</t>
  </si>
  <si>
    <t>M_EMA_14</t>
  </si>
  <si>
    <t>EMA &amp; Ergonomie in Montage und Demontage</t>
  </si>
  <si>
    <t>Lorena (läuft im SoSe erstmals)</t>
  </si>
  <si>
    <t>Master, Industrie</t>
  </si>
  <si>
    <t>Vorwissen Grundlagen (Arbeitsprozesse)</t>
  </si>
  <si>
    <t>Lernende modellieren Arbeitsprozesse digital (EMA), bewerten sie ergonomisch und validieren sie physisch in Montage/Demontage.</t>
  </si>
  <si>
    <t>F (EMA-Modellierung, Ergonomiebewertung), A (Validierung umsetzen), P (Verantwortung für Arbeitsgestaltung)</t>
  </si>
  <si>
    <t>kognitiv | psychomotorisch (physische Validierung)</t>
  </si>
  <si>
    <t>prozedural (EMA-Modellierung), konzeptuell (Ergonomiekriterien), metakognitiv (Reflexion der Bewertung)</t>
  </si>
  <si>
    <t>1) Arbeitsprozess in EMA modellieren [Anwenden]  2) ergonomisch bewerten [Bewerten]  3) physisch validieren [Anwenden]  4) Gestaltungsmaßnahmen ableiten [Erschaffen]</t>
  </si>
  <si>
    <t>Produktlebenszyklus – Montage &amp; Demontage (Recycling/Reman)</t>
  </si>
  <si>
    <t>Kleinserien-/Einzelfertigung (Arbeitsplatz)</t>
  </si>
  <si>
    <t>digital (EMA-Modell) + physisch (Arbeitsplatz)</t>
  </si>
  <si>
    <t>6 - 20 (Montage-/Demontageteile)</t>
  </si>
  <si>
    <t>EMA (digitale Menschmodelle), Ergonomie, Montage/Demontage, Arbeitsgestaltung</t>
  </si>
  <si>
    <t>Simulation, digitale Fertigung, Datenerfassung</t>
  </si>
  <si>
    <t>offenes Szenario (Gestaltung + Validierung)</t>
  </si>
  <si>
    <t>physisch (Montagearbeitsplatz) + digital (EMA-Software)</t>
  </si>
  <si>
    <t>EMA-Software, Montagearbeitsplatz, Demontageobjekte, Messmittel</t>
  </si>
  <si>
    <t>Aufbaumodul Arbeitsgestaltung; Bezug Demontage-Workshop, Assistenzsysteme</t>
  </si>
  <si>
    <t>auf andere Arbeitsprozesse übertragbar, erprobt</t>
  </si>
  <si>
    <t>praktische Prüfung (Modell + Bewertung + Maßnahme)</t>
  </si>
  <si>
    <t>TN liefern bewertete und validierte ergonomische Gestaltungsmaßnahme</t>
  </si>
  <si>
    <t>Hochschule Aalen (Lorena)</t>
  </si>
  <si>
    <t>mittel (EMA-Lizenz, Arbeitsplatz)</t>
  </si>
  <si>
    <t>Fertig (Lorena), läuft erstmals im Sommersemester</t>
  </si>
  <si>
    <t>M_ARVR_15</t>
  </si>
  <si>
    <t>AR/VR Basics für Industrieanwendungen</t>
  </si>
  <si>
    <t>Jonas (vorhanden)</t>
  </si>
  <si>
    <t>Bachelor/Master, Industrie</t>
  </si>
  <si>
    <t>Lernende verstehen Entwicklung und Nutzung von AR/VR-Anwendungen und setzen industrielle Szenarien prototypisch um.</t>
  </si>
  <si>
    <t>F (AR/VR-Grundlagen), A (Anwendung umsetzen), P (Technologieoffenheit)</t>
  </si>
  <si>
    <t>kognitiv | psychomotorisch (Headset/Interaktion)</t>
  </si>
  <si>
    <t>konzeptuell (AR/VR-Prinzipien), prozedural (Anwendungserstellung)</t>
  </si>
  <si>
    <t>1) AR vs. VR unterscheiden [Verstehen]  2) Anwendungsfälle benennen [Verstehen]  3) einfache Anwendung erstellen/nutzen [Anwenden]  4) Eignung für Industrieszenario bewerten [Bewerten]</t>
  </si>
  <si>
    <t>Produktlebenszyklus – Training/Planung (querschnittlich)</t>
  </si>
  <si>
    <t>didaktisch demonstrativ + Anwendungsszenario</t>
  </si>
  <si>
    <t>digital (AR/VR-Anwendung)</t>
  </si>
  <si>
    <t>nicht produktbezogen (virtuelle Objekte)</t>
  </si>
  <si>
    <t>AR/VR-Grundlagen, Industrieanwendungen, Interaktion, Visualisierung</t>
  </si>
  <si>
    <t>Simulation, Datenmanagement &amp; Visualisierung, Assistenzsysteme</t>
  </si>
  <si>
    <t>Demonstration + geschlossenes Anwendungsszenario</t>
  </si>
  <si>
    <t>physisch (AR/VR-Labor)</t>
  </si>
  <si>
    <t>AR/VR-Headsets, Entwicklungsumgebung, Workstations</t>
  </si>
  <si>
    <t>Einstiegsmodul XR; Bezug Unity &amp; Blender, VR-Trainings</t>
  </si>
  <si>
    <t>breit übertragbar</t>
  </si>
  <si>
    <t>praktische Anwendung (genutzte/erstellte AR/VR-Anwendung)</t>
  </si>
  <si>
    <t>TN nutzen/erstellen eine AR/VR-Anwendung und bewerten ihren Industrienutzen</t>
  </si>
  <si>
    <t>Hochschule Aalen (Jonas)</t>
  </si>
  <si>
    <t>mittel (Headsets)</t>
  </si>
  <si>
    <t>Vorhanden (Jonas)</t>
  </si>
  <si>
    <t>M_UNITYBLEND_16</t>
  </si>
  <si>
    <t>Unity &amp; Blender für digitale Fabrikmodelle</t>
  </si>
  <si>
    <t>Lukas, Uwe (vorhanden)</t>
  </si>
  <si>
    <t>Bachelor/Master</t>
  </si>
  <si>
    <t>Vorwissen Grundlagen (3D/CAD hilfreich)</t>
  </si>
  <si>
    <t>Lernende erstellen und visualisieren digitale Anlagenmodelle mit Unity und Blender für Trainings- und Planungszwecke.</t>
  </si>
  <si>
    <t>F (3D-Modellierung, Visualisierung), A (Modell erstellen), P (Gestaltungsanspruch)</t>
  </si>
  <si>
    <t>kognitiv | psychomotorisch (3D-Werkzeuge)</t>
  </si>
  <si>
    <t>überwiegend 3. Anwenden, 6. Erschaffen</t>
  </si>
  <si>
    <t>prozedural (Modellierung/Visualisierung), konzeptuell (digitale Fabrikmodelle)</t>
  </si>
  <si>
    <t>1) Anlagenkomponente in Blender modellieren [Anwenden]  2) Szene in Unity aufbauen [Anwenden]  3) interaktives Modell erstellen [Erschaffen]  4) Modell für Zweck bewerten [Bewerten]</t>
  </si>
  <si>
    <t>Produktlebenszyklus – Fabrikplanung/Training (digital)</t>
  </si>
  <si>
    <t>digital (Planungs-/Trainingsmodell)</t>
  </si>
  <si>
    <t>digital (3D-Anlagenmodell)</t>
  </si>
  <si>
    <t>konfigurierbar (Modellbausteine)</t>
  </si>
  <si>
    <t>Unity, Blender, digitale Fabrikmodelle, Visualisierung, Fabrikplanung</t>
  </si>
  <si>
    <t>Simulation, Datenmanagement &amp; Visualisierung</t>
  </si>
  <si>
    <t>offenes Szenario (Modellierungsprojekt)</t>
  </si>
  <si>
    <t>Coach / Instrukteur:in</t>
  </si>
  <si>
    <t>Unity, Blender, Workstations (GPU), Beispielmodelle</t>
  </si>
  <si>
    <t>Aufbaumodul Digital Engineering; Bezug AR/VR Basics, VR-Trainings, Demo-Fabrik</t>
  </si>
  <si>
    <t>praktische Prüfung (erstelltes Fabrikmodell)</t>
  </si>
  <si>
    <t>TN liefern ein zweckmäßiges, interaktives digitales Anlagenmodell</t>
  </si>
  <si>
    <t>Hochschule Aalen (Lukas, Uwe)</t>
  </si>
  <si>
    <t>gering (Open-Source/edu-Lizenzen)</t>
  </si>
  <si>
    <t>curricular</t>
  </si>
  <si>
    <t>Vorhanden (Lukas, Uwe)</t>
  </si>
  <si>
    <t>M_HRI_17</t>
  </si>
  <si>
    <t>Human-Robot Interaction &amp; Communication of Intent</t>
  </si>
  <si>
    <t>Modulverantwortliche:r (EIT Manufacturing; Praxis in REPAIR geplant)</t>
  </si>
  <si>
    <t>Master, Forschende, Industrie (fortgeschritten)</t>
  </si>
  <si>
    <t>Vorwissen Vertieft (Robotik)</t>
  </si>
  <si>
    <t>Hochschulbildung | Forschung | berufliche Aus-/Weiterbildung</t>
  </si>
  <si>
    <t>Lernende vertiefen kooperative Mensch-Roboter-Interaktion, Trajektorienplanung und Intent-Kommunikation und gestalten sichere Interaktionsszenarien.</t>
  </si>
  <si>
    <t>F (HRI-Methodik, Trajektorienplanung), S (Mensch-Maschine-Kommunikation), A (Szenario umsetzen), P (Sicherheitsverantwortung)</t>
  </si>
  <si>
    <t>kognitiv | psychomotorisch (Interaktion)</t>
  </si>
  <si>
    <t>konzeptuell (HRI, Intent), prozedural (Trajektorienplanung), metakognitiv (Sicherheitsabwägung)</t>
  </si>
  <si>
    <t>1) HRI-Konzepte einordnen [Verstehen]  2) Trajektorien planen [Anwenden]  3) Intent-Kommunikation analysieren [Analysieren]  4) sicheres Interaktionsszenario gestalten [Erschaffen]</t>
  </si>
  <si>
    <t>Produktlebenszyklus – Montage/(De-)Montage (kollaborativ); REPAIR</t>
  </si>
  <si>
    <t>Kleinserien-/Einzelfertigung (kollaborativ)</t>
  </si>
  <si>
    <t>physisch (Cobot) + digital (Planung)</t>
  </si>
  <si>
    <t>6 - 20 (Handhabungsobjekte)</t>
  </si>
  <si>
    <t>HRI, Cobots, Trajektorienplanung, Communication of Intent, Sicherheit</t>
  </si>
  <si>
    <t>Automatisierungstechnik, Assistenzsysteme, Simulation, Datenerfassung</t>
  </si>
  <si>
    <t>offenes Szenario (Interaktionsdesign)</t>
  </si>
  <si>
    <t>physisch (Cobot-Labor), digital unterstützt</t>
  </si>
  <si>
    <t>kollaborativer Roboter, Planungs-/Simulationssoftware, Sicherheitsausstattung</t>
  </si>
  <si>
    <t>Vertiefungsmodul; baut auf Robotik-Module auf; Praxisintegration in REPAIR</t>
  </si>
  <si>
    <t>modular (Praxisteil noch zu ergänzen)</t>
  </si>
  <si>
    <t>forschungsnah; auf andere Kollaborationsszenarien übertragbar</t>
  </si>
  <si>
    <t>praktische Prüfung (sicheres HRI-Szenario)</t>
  </si>
  <si>
    <t>TN gestalten ein sicheres, intent-kommunizierendes HRI-Szenario</t>
  </si>
  <si>
    <t>Hochschule Aalen (EIT Manufacturing / REPAIR)</t>
  </si>
  <si>
    <t>mittel-hoch (Cobot, Labor)</t>
  </si>
  <si>
    <t>Forschung / Industrie-Weiterbildung / curricular</t>
  </si>
  <si>
    <t>Teilweise vorhanden (EIT Manufacturing); Praxisintegration in REPAIR geplant</t>
  </si>
  <si>
    <t>M_AMR_18</t>
  </si>
  <si>
    <t>Mobile Robotik &amp; AMR-Integration</t>
  </si>
  <si>
    <t>Modulverantwortliche:r (EIT Manufacturing; AMR-Beschaffung offen)</t>
  </si>
  <si>
    <t>Master, Industrie (fortgeschritten)</t>
  </si>
  <si>
    <t>Vorwissen Anwendung (Robotik/Logistik)</t>
  </si>
  <si>
    <t>Lernende verstehen autonome mobile Roboter (AMR) und integrieren sie in bestehende Produktionsumgebungen.</t>
  </si>
  <si>
    <t>F (AMR-Technik, Navigation), A (Integration umsetzen), S (Schnittstellen-/Layoutabstimmung)</t>
  </si>
  <si>
    <t>kognitiv | psychomotorisch (Inbetriebnahme)</t>
  </si>
  <si>
    <t>konzeptuell (Navigation/Flottenmanagement), prozedural (Integration)</t>
  </si>
  <si>
    <t>1) AMR-Funktionsprinzip erklären [Verstehen]  2) AMR in Layout integrieren [Anwenden]  3) Materialfluss analysieren [Analysieren]  4) Integrationslösung bewerten [Bewerten]</t>
  </si>
  <si>
    <t>Produktlebenszyklus – Logistik/Materialfluss</t>
  </si>
  <si>
    <t>Serien-/Kleinserienproduktion (Intralogistik)</t>
  </si>
  <si>
    <t>physisch (AMR) + digital (Layout/Navigation)</t>
  </si>
  <si>
    <t>6 - 20 (Transportgüter)</t>
  </si>
  <si>
    <t>Mobile Robotik, AMR, Navigation, Intralogistik, Integration</t>
  </si>
  <si>
    <t>Automatisierungstechnik, Netzwerktechnologien, Datenerfassung</t>
  </si>
  <si>
    <t>offenes/geschlossenes Integrationsszenario</t>
  </si>
  <si>
    <t>physisch (Logistik-/Robotiklabor)</t>
  </si>
  <si>
    <t>AMR (Beschaffung offen), Layout-/Navigationssoftware, Transportgüter</t>
  </si>
  <si>
    <t>Aufbaumodul Logistikrobotik; Bezug I4.0-Lernfabrik, HRI</t>
  </si>
  <si>
    <t>modular (abhängig von AMR-Verfügbarkeit)</t>
  </si>
  <si>
    <t>auf andere Intralogistik-Szenarien übertragbar</t>
  </si>
  <si>
    <t>praktische Prüfung (integrierter AMR-Transport)</t>
  </si>
  <si>
    <t>TN integrieren einen AMR-Transport und bewerten den Materialfluss</t>
  </si>
  <si>
    <t>Hochschule Aalen (EIT Manufacturing)</t>
  </si>
  <si>
    <t>hoch (AMR-Beschaffung) – sonst nicht realisierbar</t>
  </si>
  <si>
    <t>Industrie-Weiterbildung / curricular (vorbehaltlich AMR)</t>
  </si>
  <si>
    <t>Teilweise vorhanden (EIT Manufacturing); Praxis nur bei AMR-Beschaffung</t>
  </si>
  <si>
    <t>M_HUMANOID_19</t>
  </si>
  <si>
    <t>Humanoid Robot – Machine Tending Use Case</t>
  </si>
  <si>
    <t>Tilman (Demo Use Case) + Team Feldmann</t>
  </si>
  <si>
    <t>Vorwissen Vertieft (Robotik/Automatisierung)</t>
  </si>
  <si>
    <t>berufliche Aus-/Weiterbildung | Demonstration</t>
  </si>
  <si>
    <t>Lernende nutzen humanoide Robotik für Maschinenbedienungsszenarien (Machine Tending) und bewerten deren Einsatzpotenzial.</t>
  </si>
  <si>
    <t>F (humanoide Robotik, Machine Tending), A (Use Case umsetzen), P (Einsatzbewertung)</t>
  </si>
  <si>
    <t>überwiegend 3. Anwenden, 5. Bewerten</t>
  </si>
  <si>
    <t>konzeptuell (humanoide Robotik), prozedural (Machine Tending), metakognitiv (Wirtschaftlichkeitsabwägung)</t>
  </si>
  <si>
    <t>1) Machine-Tending-Prinzip erklären [Verstehen]  2) Use Case durchführen [Anwenden]  3) Eignung humanoider Robotik analysieren [Analysieren]  4) Einsatzpotenzial bewerten [Bewerten]</t>
  </si>
  <si>
    <t>Produktlebenszyklus – Fertigung (Maschinenbedienung)</t>
  </si>
  <si>
    <t>Serien-/Kleinserienproduktion (Maschinenbeschickung)</t>
  </si>
  <si>
    <t>physisch (humanoider Roboter + Maschine)</t>
  </si>
  <si>
    <t>6 - 20 (Werkstücke)</t>
  </si>
  <si>
    <t>Humanoide Robotik, Machine Tending, Automatisierung, Use-Case-Bewertung</t>
  </si>
  <si>
    <t>Automatisierungstechnik, Assistenzsysteme, KI</t>
  </si>
  <si>
    <t>physisch (Robotiklabor)</t>
  </si>
  <si>
    <t>humanoider Roboter, Werkzeugmaschine, Werkstücke, Sicherheitsausstattung</t>
  </si>
  <si>
    <t>Vertiefungs-/Demonstrationsmodul; Kooperation Team Feldmann; Bezug HRI</t>
  </si>
  <si>
    <t>modular (Demonstrator + Workshop-Option)</t>
  </si>
  <si>
    <t>auf andere Machine-Tending-Aufgaben übertragbar</t>
  </si>
  <si>
    <t>Teilnehmerfeedback | Kompetenzmessung | ökonomische Wirkung</t>
  </si>
  <si>
    <t>praktische Anwendung + Einsatzbewertung</t>
  </si>
  <si>
    <t>TN führen Machine-Tending-Use-Case durch und bewerten das Einsatzpotenzial</t>
  </si>
  <si>
    <t>Hochschule Aalen (Tilman + Team Feldmann)</t>
  </si>
  <si>
    <t>hoch (humanoider Roboter)</t>
  </si>
  <si>
    <t>Industrie-Demonstration / Weiterbildung</t>
  </si>
  <si>
    <t>Demo Use Case vorhanden (Tilman); Workshop mit Team Feldmann anbietbar</t>
  </si>
  <si>
    <t>M_SYSENG_20</t>
  </si>
  <si>
    <t>Systems Engineering für Manufacturing</t>
  </si>
  <si>
    <t>Modulverantwortliche:r (Master, projektbezogen)</t>
  </si>
  <si>
    <t>Vorwissen Anwendung (Engineering-Grundlagen)</t>
  </si>
  <si>
    <t>Lernende wenden Systems Thinking, Modellierung und strukturierten Entwurf auf komplexe Produktionssysteme an.</t>
  </si>
  <si>
    <t>F (Systems-Engineering-Methodik), A (Entwurf umsetzen), P (ganzheitliches Denken), S (Stakeholder-Abstimmung)</t>
  </si>
  <si>
    <t>konzeptuell (Systemmodelle), prozedural (Modellierungsmethoden), metakognitiv (Systemreflexion)</t>
  </si>
  <si>
    <t>1) Systemgrenzen/Stakeholder analysieren [Analysieren]  2) Anforderungen modellieren [Anwenden]  3) Systementwurf erstellen [Erschaffen]  4) Entwurf bewerten [Bewerten]</t>
  </si>
  <si>
    <t>Produktlebenszyklus – Planung/Entwurf von Produktionssystemen</t>
  </si>
  <si>
    <t>projekt-/systembezogen (methodenorientiert)</t>
  </si>
  <si>
    <t>digital/konzeptuell (Systemmodelle)</t>
  </si>
  <si>
    <t>konfigurierbar (Systembestandteile)</t>
  </si>
  <si>
    <t>Systems Thinking, MBSE/Modellierung, Anforderungen, Systementwurf</t>
  </si>
  <si>
    <t>offenes Szenario (Entwurfsprojekt)</t>
  </si>
  <si>
    <t>selbstbestimmt/selbstorganisiert mit Coaching</t>
  </si>
  <si>
    <t>Projektarbeit / Workshop</t>
  </si>
  <si>
    <t>hybrid (Seminarraum / online)</t>
  </si>
  <si>
    <t>Modellierungswerkzeuge (z. B. SysML), Workstations, Fallstudien</t>
  </si>
  <si>
    <t>Methodenmodul; Klammer für anwendungsbezogene Module; Master-Projektkontext</t>
  </si>
  <si>
    <t>breit übertragbar (Methodik)</t>
  </si>
  <si>
    <t>Projektabgabe (Systementwurf + Bewertung)</t>
  </si>
  <si>
    <t>TN liefern einen begründeten, bewerteten Systementwurf</t>
  </si>
  <si>
    <t>gering (Methoden-/Softwarefokus)</t>
  </si>
  <si>
    <t>curricular (Master) + Industrie-Weiterbildung</t>
  </si>
  <si>
    <t>Vorhanden; im Master projektbezogen eingesetzt</t>
  </si>
  <si>
    <t>M_CONTEXT_21</t>
  </si>
  <si>
    <t>Context Inquiry &amp; Problem Portfolio Mapping</t>
  </si>
  <si>
    <t>Modulverantwortliche:r (als Methodology auszuarbeiten)</t>
  </si>
  <si>
    <t>Industrie, Projektteams, Master</t>
  </si>
  <si>
    <t>Vorwissen Grundlagen (Projekt-/Prozessverständnis)</t>
  </si>
  <si>
    <t>Lernende analysieren Industriekontexte strukturiert und identifizieren Innovations- und Automatisierungspotenziale (Problem-Portfolio).</t>
  </si>
  <si>
    <t>F (Analysemethodik), A (Erhebung umsetzen), S (Stakeholder-Interviews), P (analytisches Urteil)</t>
  </si>
  <si>
    <t>überwiegend 4. Analysieren, 5. Bewerten</t>
  </si>
  <si>
    <t>prozedural (Context Inquiry, Mapping), konzeptuell (Potenzialfelder), metakognitiv (Priorisierung)</t>
  </si>
  <si>
    <t>1) Kontext strukturiert erheben [Anwenden]  2) Probleme/Potenziale identifizieren [Analysieren]  3) Portfolio mappen [Analysieren]  4) Potenziale priorisieren/bewerten [Bewerten]</t>
  </si>
  <si>
    <t>Produktlebenszyklus – querschnittlich (Analyse/Planung)</t>
  </si>
  <si>
    <t>methodenorientiert (Analyseworkshop)</t>
  </si>
  <si>
    <t>immateriell (Methode) / digital (Portfolio-Map)</t>
  </si>
  <si>
    <t>nicht produktbezogen (Analyseartefakte)</t>
  </si>
  <si>
    <t>Context Inquiry, Problem Portfolio Mapping, Potenzialanalyse, Priorisierung</t>
  </si>
  <si>
    <t>kein direkter Technologiebezug (Methodik) / Datenmanagement &amp; Visualisierung</t>
  </si>
  <si>
    <t>offenes Szenario (realer Industriekontext)</t>
  </si>
  <si>
    <t>Moderator:in / Coach</t>
  </si>
  <si>
    <t>hybrid (Workshopraum / vor Ort beim Partner)</t>
  </si>
  <si>
    <t>Methoden-/Templatesatz, Moderationsmaterial, Mapping-Tool</t>
  </si>
  <si>
    <t>Methoden-/Einstiegsmodul; speist Strategie- und Umsetzungsmodule (Reman-Strategie, Assistenzsysteme)</t>
  </si>
  <si>
    <t>modular &amp; lehrpersonenunabhängig (als Methodology ablegbar)</t>
  </si>
  <si>
    <t>Workshop-Ergebnis (Problem-Portfolio)</t>
  </si>
  <si>
    <t>TN erstellen ein priorisiertes Problem-/Potenzial-Portfolio</t>
  </si>
  <si>
    <t>sehr gering (Methodenfokus)</t>
  </si>
  <si>
    <t>Industrie-Workshop / curricular</t>
  </si>
  <si>
    <t>Material vorhanden; sollte als Methodology bereitgestellt werden</t>
  </si>
  <si>
    <t>M_CHATBOT_22</t>
  </si>
  <si>
    <t>Digitale Assistenzsysteme &amp; KI-Chatbots in der Produktion</t>
  </si>
  <si>
    <t>Modulverantwortliche:r (COALA/REPAIR/AiHub, DIQUA-Baukasten)</t>
  </si>
  <si>
    <t>Vorwissen Vertieft (Digitalisierung/Shopfloor)</t>
  </si>
  <si>
    <t>berufliche Aus-/Weiterbildung | Forschung</t>
  </si>
  <si>
    <t>Lernende konzipieren, bewerten und setzen KI-basierte Assistenzlösungen (Chatbots) für den Shopfloor prototypisch um.</t>
  </si>
  <si>
    <t>F (KI-Assistenz/Chatbot-Konzeption), A (Prototyp umsetzen), P (kritische Bewertung), S (Nutzerintegration)</t>
  </si>
  <si>
    <t>überwiegend 5. Bewerten, 6. Erschaffen</t>
  </si>
  <si>
    <t>konzeptuell (KI-Assistenz), prozedural (Prototyping), metakognitiv (Nutzen-/Risikoabwägung)</t>
  </si>
  <si>
    <t>1) Anwendungsfall bewerten [Bewerten]  2) Assistenzlösung konzipieren [Erschaffen]  3) Prototyp umsetzen [Anwenden]  4) Lösung evaluieren [Bewerten]</t>
  </si>
  <si>
    <t>Produktlebenszyklus – Fertigung/Service (Shopfloor-Assistenz)</t>
  </si>
  <si>
    <t>Serien-/Kleinserienproduktion (Assistenzkontext)</t>
  </si>
  <si>
    <t>digital (Chatbot/Assistenzprototyp)</t>
  </si>
  <si>
    <t>nicht produktbezogen (Wissens-/Dialogobjekte)</t>
  </si>
  <si>
    <t>KI-Assistenz, Chatbots, Shopfloor-Unterstützung, Prototyping, Methodenbaukasten</t>
  </si>
  <si>
    <t>Datenverarbeitung (KI), Assistenzsysteme, Datenmanagement &amp; Visualisierung, Cybersecurity</t>
  </si>
  <si>
    <t>offenes Szenario (Konzeption + Prototyp)</t>
  </si>
  <si>
    <t>hybrid (Datenlabor / vor Ort)</t>
  </si>
  <si>
    <t>KI-/LLM-Umgebung, Prototyping-Tools, Beispiel-Wissensbasis</t>
  </si>
  <si>
    <t>Aufbaumodul KI-Assistenz; baut auf COALA auf; REPAIR/AiHub-Implementierung; DIQUA-Baukasten</t>
  </si>
  <si>
    <t>modular (Methodenbaukasten im Aufbau)</t>
  </si>
  <si>
    <t>auf andere Shopfloor-Assistenzfälle übertragbar</t>
  </si>
  <si>
    <t>praktische Prüfung (Assistenz-Prototyp + Bewertung)</t>
  </si>
  <si>
    <t>TN liefern einen bewerteten KI-Assistenz-Prototyp für einen Shopfloor-Use-Case</t>
  </si>
  <si>
    <t>Hochschule Aalen (COALA/REPAIR/AiHub/DIQUA)</t>
  </si>
  <si>
    <t>mittel (KI-Infrastruktur)</t>
  </si>
  <si>
    <t>Industrie-Weiterbildung / Forschungstransfer</t>
  </si>
  <si>
    <t>Technik vorhanden (COALA); REPAIR/AiHub-Implementierung und DIQUA-Baukasten in Arbeit</t>
  </si>
  <si>
    <t>M_REMSTRAT_23</t>
  </si>
  <si>
    <t>Remanufacturing-Strategie &amp; Portfolio-Workshops</t>
  </si>
  <si>
    <t>Max? (Verantwortung zu klären)</t>
  </si>
  <si>
    <t>Industrie, Management, Führungskräfte</t>
  </si>
  <si>
    <t>Vorwissen Grundlagen (Geschäftsmodell-/Produktverständnis)</t>
  </si>
  <si>
    <t>heterogen – Hierarchie (Management)</t>
  </si>
  <si>
    <t>Lernende entwickeln Remanufacturing-Konzepte und Geschäftsmodelle für produzierende Unternehmen und bewerten deren Tragfähigkeit.</t>
  </si>
  <si>
    <t>P (strategische Entscheidung/Verantwortung), A (Konzept umsetzen), S (Stakeholder-Alignment), F (Reman-/Geschäftsmodellwissen)</t>
  </si>
  <si>
    <t>kognitiv | affektiv (Verantwortungshaltung)</t>
  </si>
  <si>
    <t>konzeptuell (Reman-Strategie/Geschäftsmodelle), metakognitiv (strategische Reflexion)</t>
  </si>
  <si>
    <t>1) Reman-Potenziale im Portfolio analysieren [Analysieren]  2) Geschäftsmodell entwerfen [Erschaffen]  3) Wirtschaftlichkeit/Risiko bewerten [Bewerten]  4) Roadmap ableiten [Erschaffen]</t>
  </si>
  <si>
    <t>Recycling/Remanufacturing – Strategie &amp; Geschäftsmodell</t>
  </si>
  <si>
    <t>strategieorientiert (Management-Workshop)</t>
  </si>
  <si>
    <t>immateriell (Strategie/Geschäftsmodell)</t>
  </si>
  <si>
    <t>nicht produktbezogen (Portfolio-/Geschäftsmodellartefakte)</t>
  </si>
  <si>
    <t>Remanufacturing-Strategie, Geschäftsmodelle, Portfolio, Wirtschaftlichkeit</t>
  </si>
  <si>
    <t>kein direkter Technologiebezug (Strategie) / Datenmanagement &amp; Visualisierung</t>
  </si>
  <si>
    <t>offenes Szenario (Strategieentwicklung)</t>
  </si>
  <si>
    <t>selbstbestimmt/selbstorganisiert mit Moderation</t>
  </si>
  <si>
    <t>Workshop / Business-Szenario</t>
  </si>
  <si>
    <t>hybrid (Workshopraum / online)</t>
  </si>
  <si>
    <t>Strategie-/Business-Model-Templates, Moderationsmaterial, Fallbeispiele</t>
  </si>
  <si>
    <t>Strategiemodul (Management-Ebene); Klammer über operative Reman-Module</t>
  </si>
  <si>
    <t>breit übertragbar (branchenübergreifend)</t>
  </si>
  <si>
    <t>Teilnehmerfeedback | ökonomische Wirkung des Trainings | Transfer</t>
  </si>
  <si>
    <t>Workshop-Ergebnis (Reman-Konzept/Geschäftsmodell)</t>
  </si>
  <si>
    <t>TN liefern ein bewertetes Reman-Geschäftsmodell mit Roadmap</t>
  </si>
  <si>
    <t>sehr gering (Workshop-Format)</t>
  </si>
  <si>
    <t>Management-Weiterbildung / Industrie-Workshop</t>
  </si>
  <si>
    <t>Verantwortung offen (Max?); Konzept zu erstellen</t>
  </si>
  <si>
    <t>M_IFIXIT_24</t>
  </si>
  <si>
    <t>Demontage-Workshop nach iFixit-Prinzip</t>
  </si>
  <si>
    <t>Lorena + Jakob (nach Bas Flipsen) – kopieren oder Gastdozent</t>
  </si>
  <si>
    <t>Lernende analysieren und bewerten Produkte systematisch hinsichtlich Reparierbarkeit und Wiederverwendung und dokumentieren die Demontage nach iFixit-Prinzip.</t>
  </si>
  <si>
    <t>F (Demontage-/Bewertungsmethodik), A (Demontage umsetzen), P (Bewertungsurteil), S (Dokumentation/Teamarbeit)</t>
  </si>
  <si>
    <t>kognitiv | psychomotorisch (haptische Demontage)</t>
  </si>
  <si>
    <t>prozedural (Demontage/Dokumentation), konzeptuell (Reparierbarkeitskriterien), metakognitiv (Bewertung)</t>
  </si>
  <si>
    <t>1) Produkt zerstörungsarm demontieren [Anwenden]  2) Demontageschritte dokumentieren [Anwenden]  3) Reparierbarkeit analysieren [Analysieren]  4) Reparierbarkeits-Score bewerten [Bewerten]</t>
  </si>
  <si>
    <t>Recycling/Remanufacturing – Demontage &amp; Reparierbarkeitsbewertung</t>
  </si>
  <si>
    <t>Einzelfertigung (reales Produkt, didaktisch begleitet)</t>
  </si>
  <si>
    <t>physisch (reales Produkt/Altgerät)</t>
  </si>
  <si>
    <t>6 - 20 (Produktkomponenten)</t>
  </si>
  <si>
    <t>Demontage, Reparierbarkeit (iFixit), Bewertungskriterien, Dokumentation, Wiederverwendung</t>
  </si>
  <si>
    <t>Datenerfassung (Dokumentation) / kein vertiefter Technologiebezug</t>
  </si>
  <si>
    <t>offenes Szenario (variable reale Produkte)</t>
  </si>
  <si>
    <t>Coach (ggf. Gastdozent Bas Flipsen)</t>
  </si>
  <si>
    <t>physisch (Demontage-/Repair-Labor), hands-on</t>
  </si>
  <si>
    <t>Demontagearbeitsplatz, Werkzeugsatz, reale Produkte, Bewertungsbogen, Kamera (Doku)</t>
  </si>
  <si>
    <t>Einstiegs-/Aufbaumodul Demontage; eng verwandt mit dem Reman-Bewertungs-Beispielmodul; Bezug EMA, Reman-Strategie</t>
  </si>
  <si>
    <t>modular &amp; lehrpersonenunabhängig (bzw. Gastdozent)</t>
  </si>
  <si>
    <t>auf andere Produktklassen übertragbar</t>
  </si>
  <si>
    <t>Teilnehmerfeedback | Kompetenzmessung | Transfer</t>
  </si>
  <si>
    <t>praktische Prüfung (Demontage + Reparierbarkeitsbewertung)</t>
  </si>
  <si>
    <t>TN demontieren ein Produkt und liefern eine begründete Reparierbarkeitsbewertung</t>
  </si>
  <si>
    <t>Hochschule Aalen (Lorena, Jakob) ggf. mit Bas Flipsen</t>
  </si>
  <si>
    <t>gering (Werkzeug mehrfach nutzbar, reale Produkte)</t>
  </si>
  <si>
    <t>Bei Bas Flipsen durchgeführt (Lorena + Jakob) – kopieren oder Gastdozent einladen</t>
  </si>
  <si>
    <t>M_VRTRAIN_25</t>
  </si>
  <si>
    <t>VR-Trainings: Montage- und Schweißsimulation</t>
  </si>
  <si>
    <t>Modulverantwortliche:r (Update erforderlich)</t>
  </si>
  <si>
    <t>variabel (Demonstration/Training)</t>
  </si>
  <si>
    <t>Lernende erleben und nutzen virtuelle Trainingsumgebungen für Montage- und Schweißqualifizierung.</t>
  </si>
  <si>
    <t>F (VR-Trainingsverständnis), A (Trainingsdurchführung), P (Selbstwirksamkeit), psychomotorische Anbahnung</t>
  </si>
  <si>
    <t>kognitiv | psychomotorisch (VR-Handhabung)</t>
  </si>
  <si>
    <t>prozedural (Montage/Schweißen im VR), konzeptuell (VR-Training)</t>
  </si>
  <si>
    <t>1) VR-Trainingsablauf erklären [Verstehen]  2) Montage-/Schweißsimulation durchführen [Anwenden]  3) eigene Ausführung reflektieren [Analysieren]  4) Trainingsnutzen bewerten [Bewerten]</t>
  </si>
  <si>
    <t>Produktlebenszyklus – Fertigung/Montage (Qualifizierung)</t>
  </si>
  <si>
    <t>didaktisch demonstrativ (Trainingssimulation)</t>
  </si>
  <si>
    <t>digital (VR-Trainingsumgebung)</t>
  </si>
  <si>
    <t>nicht produktbezogen (virtuelle Werkstücke)</t>
  </si>
  <si>
    <t>VR-Training, Montagesimulation, Schweißsimulation, Qualifizierung</t>
  </si>
  <si>
    <t>Simulation, Assistenzsysteme</t>
  </si>
  <si>
    <t>Demonstration + geschlossenes Trainingsszenario</t>
  </si>
  <si>
    <t>praktischer Laborkurs / Demonstration</t>
  </si>
  <si>
    <t>physisch (VR-Labor)</t>
  </si>
  <si>
    <t>VR-Headsets, Montage-/Schweißsimulationssoftware (Update nötig), Workstations</t>
  </si>
  <si>
    <t>Demonstrations-/Trainingsmodul; Bezug AR/VR Basics, Unity &amp; Blender</t>
  </si>
  <si>
    <t>modular &amp; lehrpersonenunabhängig (nach Update)</t>
  </si>
  <si>
    <t>breit übertragbar (nach Software-Update)</t>
  </si>
  <si>
    <t>praktische Anwendung (durchgeführte Simulation)</t>
  </si>
  <si>
    <t>TN absolvieren eine VR-Trainingseinheit und bewerten deren Nutzen</t>
  </si>
  <si>
    <t>mittel (VR-Hardware/Software-Update)</t>
  </si>
  <si>
    <t>Industrie-Weiterbildung / curricular</t>
  </si>
  <si>
    <t>Veraltet – Software-Update erforderlich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</si>
</sst>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33" x14ac:knownFonts="1">
    <font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b/>
      <sz val="12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9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name val="Calibri"/>
      <family val="2"/>
      <charset val="1"/>
    </font>
    <font>
      <b/>
      <sz val="14"/>
      <name val="Arial"/>
      <family val="2"/>
      <charset val="1"/>
    </font>
    <font>
      <sz val="9.5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i/>
      <sz val="8.5"/>
      <name val="Arial"/>
      <family val="2"/>
      <charset val="1"/>
    </font>
    <font>
      <sz val="11"/>
      <name val="Aptos Narrow"/>
      <family val="2"/>
      <charset val="1"/>
    </font>
    <font>
      <b/>
      <sz val="9.5"/>
      <name val="Arial"/>
      <family val="2"/>
      <charset val="1"/>
    </font>
    <font>
      <sz val="10"/>
      <name val="Arial"/>
      <family val="2"/>
      <charset val="1"/>
    </font>
    <font>
      <sz val="12"/>
      <color theme="1"/>
      <name val="Arial"/>
      <family val="2"/>
      <charset val="1"/>
    </font>
    <font>
      <b/>
      <sz val="22"/>
      <color theme="1"/>
      <name val="Arial"/>
      <family val="2"/>
      <charset val="1"/>
    </font>
    <font>
      <sz val="14"/>
      <color theme="1"/>
      <name val="Arial"/>
      <family val="2"/>
      <charset val="1"/>
    </font>
    <font>
      <i/>
      <sz val="9"/>
      <color theme="1"/>
      <name val="Arial"/>
      <family val="2"/>
      <charset val="1"/>
    </font>
    <font>
      <b/>
      <sz val="20"/>
      <color theme="1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1A1A1A"/>
      <name val="Arial"/>
      <family val="2"/>
      <charset val="1"/>
    </font>
    <font>
      <sz val="11"/>
      <color rgb="FF1A1A1A"/>
      <name val="Arial"/>
      <family val="2"/>
      <charset val="1"/>
    </font>
    <font>
      <sz val="11"/>
      <color rgb="FF2B3A22"/>
      <name val="Arial"/>
      <family val="2"/>
      <charset val="1"/>
    </font>
    <font>
      <b/>
      <sz val="14"/>
      <color theme="1"/>
      <name val="Arial"/>
      <family val="2"/>
      <charset val="1"/>
    </font>
    <font>
      <sz val="8.5"/>
      <name val="Arial"/>
      <family val="2"/>
      <charset val="1"/>
    </font>
    <font>
      <b/>
      <sz val="12"/>
      <name val="Arial"/>
      <family val="2"/>
      <charset val="1"/>
    </font>
    <font>
      <sz val="10"/>
      <name val="Calibri"/>
      <family val="2"/>
      <charset val="1"/>
    </font>
    <font>
      <b/>
      <sz val="14"/>
      <name val="Arial"/>
      <charset val="1"/>
    </font>
    <font>
      <sz val="9.5"/>
      <name val="Arial"/>
      <charset val="1"/>
    </font>
    <font>
      <b/>
      <sz val="11"/>
      <name val="Arial"/>
      <charset val="1"/>
    </font>
    <font>
      <b/>
      <sz val="9.5"/>
      <name val="Arial"/>
      <charset val="1"/>
    </font>
    <font>
      <sz val="8.5"/>
      <name val="Arial"/>
      <charset val="1"/>
    </font>
  </fonts>
  <fills count="27">
    <fill>
      <patternFill patternType="none"/>
    </fill>
    <fill>
      <patternFill patternType="gray125"/>
    </fill>
    <fill>
      <patternFill patternType="solid">
        <fgColor theme="2"/>
        <bgColor rgb="FFEDE7F3"/>
      </patternFill>
    </fill>
    <fill>
      <patternFill patternType="solid">
        <fgColor theme="8" tint="0.39988402966399123"/>
        <bgColor rgb="FFFF7474"/>
      </patternFill>
    </fill>
    <fill>
      <patternFill patternType="solid">
        <fgColor theme="8" tint="0.59987182226020086"/>
        <bgColor rgb="FFF2AA84"/>
      </patternFill>
    </fill>
    <fill>
      <patternFill patternType="solid">
        <fgColor theme="8" tint="0.79989013336588644"/>
        <bgColor rgb="FFD9D9D9"/>
      </patternFill>
    </fill>
    <fill>
      <patternFill patternType="solid">
        <fgColor rgb="FFFFFFFF"/>
        <bgColor rgb="FFFFFDE7"/>
      </patternFill>
    </fill>
    <fill>
      <patternFill patternType="solid">
        <fgColor theme="2" tint="-9.9978637043366805E-2"/>
        <bgColor rgb="FFC7D2DD"/>
      </patternFill>
    </fill>
    <fill>
      <patternFill patternType="solid">
        <fgColor rgb="FF92D050"/>
        <bgColor rgb="FF8ED973"/>
      </patternFill>
    </fill>
    <fill>
      <patternFill patternType="solid">
        <fgColor theme="0" tint="-0.14999847407452621"/>
        <bgColor rgb="FFD1D1D1"/>
      </patternFill>
    </fill>
    <fill>
      <patternFill patternType="solid">
        <fgColor theme="7" tint="0.39988402966399123"/>
        <bgColor rgb="FFA6CAEC"/>
      </patternFill>
    </fill>
    <fill>
      <patternFill patternType="solid">
        <fgColor rgb="FF66FFFF"/>
        <bgColor rgb="FF61CBF4"/>
      </patternFill>
    </fill>
    <fill>
      <patternFill patternType="solid">
        <fgColor rgb="FF00B050"/>
        <bgColor rgb="FF008080"/>
      </patternFill>
    </fill>
    <fill>
      <patternFill patternType="solid">
        <fgColor rgb="FFEDE7F3"/>
        <bgColor rgb="FFE8E8E8"/>
      </patternFill>
    </fill>
    <fill>
      <patternFill patternType="solid">
        <fgColor rgb="FFC9E5C2"/>
        <bgColor rgb="FFD9F2D0"/>
      </patternFill>
    </fill>
    <fill>
      <patternFill patternType="solid">
        <fgColor rgb="FFE8F0E4"/>
        <bgColor rgb="FFE8E8E8"/>
      </patternFill>
    </fill>
    <fill>
      <patternFill patternType="solid">
        <fgColor theme="3" tint="0.74987029633472702"/>
        <bgColor rgb="FFC5D3FF"/>
      </patternFill>
    </fill>
    <fill>
      <patternFill patternType="solid">
        <fgColor theme="3" tint="0.89989928891872917"/>
        <bgColor rgb="FFDCE6EF"/>
      </patternFill>
    </fill>
    <fill>
      <patternFill patternType="solid">
        <fgColor rgb="FFFF7474"/>
        <bgColor rgb="FFD86ECC"/>
      </patternFill>
    </fill>
    <fill>
      <patternFill patternType="solid">
        <fgColor rgb="FFC5D3FF"/>
        <bgColor rgb="FFC7D2DD"/>
      </patternFill>
    </fill>
    <fill>
      <patternFill patternType="solid">
        <fgColor theme="9" tint="0.79989013336588644"/>
        <bgColor rgb="FFE8F0E4"/>
      </patternFill>
    </fill>
    <fill>
      <patternFill patternType="solid">
        <fgColor theme="5" tint="0.59987182226020086"/>
        <bgColor rgb="FFF2CFEE"/>
      </patternFill>
    </fill>
    <fill>
      <patternFill patternType="solid">
        <fgColor theme="6" tint="0.59987182226020086"/>
        <bgColor rgb="FF8ED973"/>
      </patternFill>
    </fill>
    <fill>
      <patternFill patternType="solid">
        <fgColor theme="9" tint="0.39988402966399123"/>
        <bgColor rgb="FF84E291"/>
      </patternFill>
    </fill>
    <fill>
      <patternFill patternType="solid">
        <fgColor theme="3" tint="0.49989318521683401"/>
        <bgColor rgb="FF61CBF4"/>
      </patternFill>
    </fill>
    <fill>
      <patternFill patternType="solid">
        <fgColor rgb="FFDCE6EF"/>
        <bgColor rgb="FFDCEAF7"/>
      </patternFill>
    </fill>
    <fill>
      <patternFill patternType="solid">
        <fgColor rgb="FFFFFDE7"/>
        <bgColor rgb="FFFFFFFF"/>
      </patternFill>
    </fill>
  </fills>
  <borders count="31">
    <border>
      <left/>
      <right/>
      <top/>
      <bottom/>
      <diagonal/>
    </border>
    <border>
      <left style="thin">
        <color rgb="FFC7D2DD"/>
      </left>
      <right style="thin">
        <color rgb="FFC7D2DD"/>
      </right>
      <top style="thin">
        <color rgb="FFC7D2DD"/>
      </top>
      <bottom style="thin">
        <color rgb="FFC7D2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7D2DD"/>
      </left>
      <right/>
      <top style="thin">
        <color rgb="FFC7D2DD"/>
      </top>
      <bottom style="thin">
        <color rgb="FFC7D2DD"/>
      </bottom>
      <diagonal/>
    </border>
    <border>
      <left/>
      <right/>
      <top/>
      <bottom style="thin">
        <color rgb="FFC7D2DD"/>
      </bottom>
      <diagonal/>
    </border>
    <border>
      <left/>
      <right/>
      <top style="thin">
        <color rgb="FFC7D2DD"/>
      </top>
      <bottom style="thin">
        <color rgb="FFC7D2DD"/>
      </bottom>
      <diagonal/>
    </border>
    <border>
      <left/>
      <right/>
      <top style="thin">
        <color rgb="FFC7D2DD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C7D2DD"/>
      </left>
      <right/>
      <top style="thin">
        <color rgb="FFC7D2DD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C7D2DD"/>
      </left>
      <right/>
      <top/>
      <bottom style="thin">
        <color rgb="FFC7D2DD"/>
      </bottom>
      <diagonal/>
    </border>
    <border>
      <left style="medium">
        <color auto="1"/>
      </left>
      <right style="thin">
        <color rgb="FFC7D2DD"/>
      </right>
      <top style="medium">
        <color auto="1"/>
      </top>
      <bottom style="thin">
        <color rgb="FFC7D2DD"/>
      </bottom>
      <diagonal/>
    </border>
    <border>
      <left style="thin">
        <color rgb="FFC7D2DD"/>
      </left>
      <right style="thin">
        <color rgb="FFC7D2DD"/>
      </right>
      <top style="medium">
        <color auto="1"/>
      </top>
      <bottom style="thin">
        <color rgb="FFC7D2DD"/>
      </bottom>
      <diagonal/>
    </border>
    <border>
      <left style="thin">
        <color rgb="FFC7D2DD"/>
      </left>
      <right style="medium">
        <color auto="1"/>
      </right>
      <top style="medium">
        <color auto="1"/>
      </top>
      <bottom style="thin">
        <color rgb="FFC7D2DD"/>
      </bottom>
      <diagonal/>
    </border>
    <border>
      <left style="medium">
        <color auto="1"/>
      </left>
      <right/>
      <top style="thin">
        <color rgb="FFC7D2DD"/>
      </top>
      <bottom/>
      <diagonal/>
    </border>
    <border>
      <left style="thin">
        <color rgb="FFC7D2DD"/>
      </left>
      <right style="medium">
        <color auto="1"/>
      </right>
      <top style="thin">
        <color rgb="FFC7D2DD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C7D2DD"/>
      </bottom>
      <diagonal/>
    </border>
    <border>
      <left style="medium">
        <color auto="1"/>
      </left>
      <right style="thin">
        <color rgb="FFC7D2DD"/>
      </right>
      <top style="thin">
        <color rgb="FFC7D2DD"/>
      </top>
      <bottom style="thin">
        <color rgb="FFC7D2DD"/>
      </bottom>
      <diagonal/>
    </border>
    <border>
      <left style="thin">
        <color rgb="FFC7D2DD"/>
      </left>
      <right style="medium">
        <color auto="1"/>
      </right>
      <top style="thin">
        <color rgb="FFC7D2DD"/>
      </top>
      <bottom style="thin">
        <color rgb="FFC7D2DD"/>
      </bottom>
      <diagonal/>
    </border>
    <border>
      <left style="medium">
        <color auto="1"/>
      </left>
      <right style="thin">
        <color rgb="FFC7D2DD"/>
      </right>
      <top style="thin">
        <color rgb="FFC7D2DD"/>
      </top>
      <bottom style="medium">
        <color auto="1"/>
      </bottom>
      <diagonal/>
    </border>
    <border>
      <left style="thin">
        <color rgb="FFC7D2DD"/>
      </left>
      <right style="thin">
        <color rgb="FFC7D2DD"/>
      </right>
      <top style="thin">
        <color rgb="FFC7D2DD"/>
      </top>
      <bottom style="medium">
        <color auto="1"/>
      </bottom>
      <diagonal/>
    </border>
    <border>
      <left style="thin">
        <color rgb="FFC7D2DD"/>
      </left>
      <right style="medium">
        <color auto="1"/>
      </right>
      <top style="thin">
        <color rgb="FFC7D2DD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C7D2DD"/>
      </left>
      <right/>
      <top/>
      <bottom/>
      <diagonal/>
    </border>
    <border>
      <left style="thin">
        <color rgb="FFC7D2DD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C7D2DD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49">
    <xf numFmtId="0" fontId="0" fillId="0" borderId="0" xfId="0"/>
    <xf numFmtId="0" fontId="9" fillId="11" borderId="3" xfId="1" applyFont="1" applyFill="1" applyBorder="1" applyAlignment="1">
      <alignment horizontal="center" vertical="center" wrapText="1"/>
    </xf>
    <xf numFmtId="0" fontId="7" fillId="10" borderId="3" xfId="1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11" fillId="0" borderId="3" xfId="1" applyFont="1" applyBorder="1" applyAlignment="1">
      <alignment horizontal="left" vertical="center" wrapText="1"/>
    </xf>
    <xf numFmtId="0" fontId="4" fillId="7" borderId="3" xfId="1" applyFont="1" applyFill="1" applyBorder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left" vertical="center" wrapText="1"/>
    </xf>
    <xf numFmtId="0" fontId="8" fillId="0" borderId="3" xfId="1" applyFont="1" applyBorder="1" applyAlignment="1">
      <alignment horizontal="left" vertical="center" wrapText="1"/>
    </xf>
    <xf numFmtId="0" fontId="7" fillId="3" borderId="3" xfId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5" fillId="11" borderId="0" xfId="0" applyFont="1" applyFill="1" applyAlignment="1">
      <alignment horizontal="center" vertical="center"/>
    </xf>
    <xf numFmtId="0" fontId="19" fillId="16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6" fillId="0" borderId="0" xfId="1" applyFont="1" applyAlignment="1">
      <alignment vertical="center"/>
    </xf>
    <xf numFmtId="0" fontId="9" fillId="4" borderId="1" xfId="1" applyFont="1" applyFill="1" applyBorder="1" applyAlignment="1">
      <alignment horizontal="left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left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9" fillId="5" borderId="5" xfId="1" applyFont="1" applyFill="1" applyBorder="1" applyAlignment="1">
      <alignment horizontal="left" vertical="center" wrapText="1"/>
    </xf>
    <xf numFmtId="0" fontId="9" fillId="5" borderId="6" xfId="1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6" fillId="0" borderId="0" xfId="1" applyFont="1"/>
    <xf numFmtId="0" fontId="9" fillId="3" borderId="1" xfId="1" applyFont="1" applyFill="1" applyBorder="1" applyAlignment="1">
      <alignment horizontal="center" vertical="center" wrapText="1"/>
    </xf>
    <xf numFmtId="0" fontId="9" fillId="12" borderId="1" xfId="1" applyFont="1" applyFill="1" applyBorder="1" applyAlignment="1">
      <alignment horizontal="center" vertical="center" wrapText="1"/>
    </xf>
    <xf numFmtId="0" fontId="13" fillId="13" borderId="1" xfId="1" applyFont="1" applyFill="1" applyBorder="1" applyAlignment="1">
      <alignment horizontal="left" vertical="center" wrapText="1"/>
    </xf>
    <xf numFmtId="0" fontId="10" fillId="14" borderId="1" xfId="1" applyFont="1" applyFill="1" applyBorder="1" applyAlignment="1">
      <alignment horizontal="center" vertical="center" wrapText="1"/>
    </xf>
    <xf numFmtId="0" fontId="14" fillId="6" borderId="1" xfId="1" applyFont="1" applyFill="1" applyBorder="1" applyAlignment="1">
      <alignment horizontal="center" vertical="center" wrapText="1"/>
    </xf>
    <xf numFmtId="0" fontId="14" fillId="7" borderId="1" xfId="1" applyFont="1" applyFill="1" applyBorder="1" applyAlignment="1">
      <alignment horizontal="center" vertical="center" wrapText="1"/>
    </xf>
    <xf numFmtId="0" fontId="14" fillId="15" borderId="1" xfId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2" fillId="17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left" vertical="center" wrapText="1"/>
    </xf>
    <xf numFmtId="0" fontId="2" fillId="17" borderId="2" xfId="0" applyFont="1" applyFill="1" applyBorder="1" applyAlignment="1">
      <alignment vertical="center" wrapText="1"/>
    </xf>
    <xf numFmtId="0" fontId="17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15" fillId="0" borderId="0" xfId="0" applyFont="1"/>
    <xf numFmtId="164" fontId="5" fillId="9" borderId="2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49" fontId="5" fillId="9" borderId="2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10" fillId="19" borderId="11" xfId="1" applyFont="1" applyFill="1" applyBorder="1" applyAlignment="1">
      <alignment horizontal="center" vertical="center" wrapText="1"/>
    </xf>
    <xf numFmtId="0" fontId="14" fillId="19" borderId="12" xfId="1" applyFont="1" applyFill="1" applyBorder="1" applyAlignment="1">
      <alignment horizontal="left" vertical="center" wrapText="1"/>
    </xf>
    <xf numFmtId="0" fontId="14" fillId="19" borderId="13" xfId="1" applyFont="1" applyFill="1" applyBorder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9" fillId="0" borderId="10" xfId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8" borderId="15" xfId="1" applyFont="1" applyFill="1" applyBorder="1" applyAlignment="1">
      <alignment horizontal="center" vertical="center" wrapText="1"/>
    </xf>
    <xf numFmtId="0" fontId="13" fillId="8" borderId="16" xfId="1" applyFont="1" applyFill="1" applyBorder="1" applyAlignment="1">
      <alignment horizontal="left" vertical="center" wrapText="1"/>
    </xf>
    <xf numFmtId="0" fontId="13" fillId="8" borderId="16" xfId="1" applyFont="1" applyFill="1" applyBorder="1" applyAlignment="1">
      <alignment horizontal="center" vertical="center" wrapText="1"/>
    </xf>
    <xf numFmtId="0" fontId="13" fillId="8" borderId="17" xfId="1" applyFont="1" applyFill="1" applyBorder="1" applyAlignment="1">
      <alignment horizontal="left" vertical="center" wrapText="1"/>
    </xf>
    <xf numFmtId="0" fontId="13" fillId="0" borderId="18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left" vertical="center" wrapText="1"/>
    </xf>
    <xf numFmtId="0" fontId="13" fillId="0" borderId="10" xfId="1" applyFont="1" applyBorder="1" applyAlignment="1">
      <alignment horizontal="center" vertical="center" wrapText="1"/>
    </xf>
    <xf numFmtId="0" fontId="13" fillId="0" borderId="19" xfId="1" applyFont="1" applyBorder="1" applyAlignment="1">
      <alignment horizontal="left" vertical="center" wrapText="1"/>
    </xf>
    <xf numFmtId="0" fontId="10" fillId="0" borderId="2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21" borderId="1" xfId="1" applyFont="1" applyFill="1" applyBorder="1" applyAlignment="1">
      <alignment horizontal="center" vertical="center" wrapText="1"/>
    </xf>
    <xf numFmtId="0" fontId="14" fillId="0" borderId="22" xfId="1" applyFont="1" applyBorder="1" applyAlignment="1">
      <alignment horizontal="left" vertical="center" wrapText="1"/>
    </xf>
    <xf numFmtId="0" fontId="10" fillId="2" borderId="2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left" vertical="center" wrapText="1"/>
    </xf>
    <xf numFmtId="0" fontId="14" fillId="2" borderId="22" xfId="1" applyFont="1" applyFill="1" applyBorder="1" applyAlignment="1">
      <alignment horizontal="left" vertical="center" wrapText="1"/>
    </xf>
    <xf numFmtId="0" fontId="14" fillId="0" borderId="23" xfId="1" applyFont="1" applyBorder="1" applyAlignment="1">
      <alignment horizontal="left" vertical="center" wrapText="1"/>
    </xf>
    <xf numFmtId="0" fontId="10" fillId="22" borderId="24" xfId="1" applyFont="1" applyFill="1" applyBorder="1" applyAlignment="1">
      <alignment horizontal="left" vertical="center" wrapText="1"/>
    </xf>
    <xf numFmtId="0" fontId="25" fillId="0" borderId="24" xfId="1" applyFont="1" applyBorder="1" applyAlignment="1">
      <alignment horizontal="center" vertical="center" wrapText="1"/>
    </xf>
    <xf numFmtId="0" fontId="14" fillId="0" borderId="24" xfId="1" applyFont="1" applyBorder="1" applyAlignment="1">
      <alignment horizontal="left" vertical="center" wrapText="1"/>
    </xf>
    <xf numFmtId="9" fontId="10" fillId="21" borderId="24" xfId="1" applyNumberFormat="1" applyFont="1" applyFill="1" applyBorder="1" applyAlignment="1">
      <alignment horizontal="center" vertical="center" wrapText="1"/>
    </xf>
    <xf numFmtId="0" fontId="14" fillId="0" borderId="25" xfId="1" applyFont="1" applyBorder="1" applyAlignment="1">
      <alignment horizontal="left" vertical="center" wrapText="1"/>
    </xf>
    <xf numFmtId="0" fontId="14" fillId="0" borderId="26" xfId="1" applyFont="1" applyBorder="1" applyAlignment="1">
      <alignment horizontal="left" vertical="center" wrapText="1"/>
    </xf>
    <xf numFmtId="0" fontId="10" fillId="0" borderId="27" xfId="1" applyFont="1" applyBorder="1" applyAlignment="1">
      <alignment horizontal="left" vertical="center" wrapText="1"/>
    </xf>
    <xf numFmtId="0" fontId="25" fillId="0" borderId="27" xfId="1" applyFont="1" applyBorder="1" applyAlignment="1">
      <alignment horizontal="left" vertical="center" wrapText="1"/>
    </xf>
    <xf numFmtId="0" fontId="14" fillId="0" borderId="27" xfId="1" applyFont="1" applyBorder="1" applyAlignment="1">
      <alignment horizontal="left" vertical="center" wrapText="1"/>
    </xf>
    <xf numFmtId="9" fontId="10" fillId="0" borderId="27" xfId="1" applyNumberFormat="1" applyFont="1" applyBorder="1" applyAlignment="1">
      <alignment horizontal="center" vertical="center" wrapText="1"/>
    </xf>
    <xf numFmtId="0" fontId="14" fillId="0" borderId="28" xfId="1" applyFont="1" applyBorder="1" applyAlignment="1">
      <alignment horizontal="left" vertical="center" wrapText="1"/>
    </xf>
    <xf numFmtId="0" fontId="25" fillId="22" borderId="24" xfId="1" applyFont="1" applyFill="1" applyBorder="1" applyAlignment="1">
      <alignment horizontal="center" vertical="center" wrapText="1"/>
    </xf>
    <xf numFmtId="0" fontId="14" fillId="22" borderId="24" xfId="1" applyFont="1" applyFill="1" applyBorder="1" applyAlignment="1">
      <alignment horizontal="left" vertical="center" wrapText="1"/>
    </xf>
    <xf numFmtId="9" fontId="10" fillId="22" borderId="24" xfId="1" applyNumberFormat="1" applyFont="1" applyFill="1" applyBorder="1" applyAlignment="1">
      <alignment horizontal="center" vertical="center" wrapText="1"/>
    </xf>
    <xf numFmtId="0" fontId="14" fillId="22" borderId="25" xfId="1" applyFont="1" applyFill="1" applyBorder="1" applyAlignment="1">
      <alignment horizontal="left" vertical="center" wrapText="1"/>
    </xf>
    <xf numFmtId="0" fontId="6" fillId="0" borderId="26" xfId="1" applyFont="1" applyBorder="1" applyAlignment="1">
      <alignment vertical="center"/>
    </xf>
    <xf numFmtId="0" fontId="6" fillId="0" borderId="29" xfId="1" applyFont="1" applyBorder="1" applyAlignment="1">
      <alignment vertical="center"/>
    </xf>
    <xf numFmtId="9" fontId="26" fillId="0" borderId="24" xfId="1" applyNumberFormat="1" applyFont="1" applyBorder="1" applyAlignment="1">
      <alignment horizontal="center" vertical="center" wrapText="1"/>
    </xf>
    <xf numFmtId="0" fontId="13" fillId="25" borderId="1" xfId="1" applyFont="1" applyFill="1" applyBorder="1" applyAlignment="1">
      <alignment horizontal="left" vertical="center" wrapText="1"/>
    </xf>
    <xf numFmtId="0" fontId="8" fillId="26" borderId="1" xfId="1" applyFont="1" applyFill="1" applyBorder="1" applyAlignment="1">
      <alignment horizontal="left" vertical="center" wrapText="1"/>
    </xf>
    <xf numFmtId="0" fontId="27" fillId="0" borderId="0" xfId="1" applyFont="1" applyAlignment="1">
      <alignment vertical="center" wrapText="1"/>
    </xf>
    <xf numFmtId="0" fontId="13" fillId="15" borderId="1" xfId="1" applyFont="1" applyFill="1" applyBorder="1" applyAlignment="1">
      <alignment horizontal="left" vertical="center" wrapText="1"/>
    </xf>
    <xf numFmtId="0" fontId="6" fillId="0" borderId="0" xfId="1" applyFont="1" applyAlignment="1">
      <alignment vertical="center" wrapText="1"/>
    </xf>
    <xf numFmtId="49" fontId="6" fillId="0" borderId="0" xfId="1" applyNumberFormat="1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1" fillId="25" borderId="2" xfId="0" applyFont="1" applyFill="1" applyBorder="1" applyAlignment="1">
      <alignment horizontal="left" vertical="center" wrapText="1"/>
    </xf>
    <xf numFmtId="0" fontId="29" fillId="26" borderId="2" xfId="0" applyFont="1" applyFill="1" applyBorder="1" applyAlignment="1">
      <alignment horizontal="left" vertical="center" wrapText="1"/>
    </xf>
    <xf numFmtId="0" fontId="16" fillId="1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7" fillId="8" borderId="10" xfId="1" applyFont="1" applyFill="1" applyBorder="1" applyAlignment="1">
      <alignment horizontal="center" vertical="center" wrapText="1"/>
    </xf>
    <xf numFmtId="0" fontId="10" fillId="19" borderId="11" xfId="1" applyFont="1" applyFill="1" applyBorder="1" applyAlignment="1">
      <alignment horizontal="center" vertical="center" wrapText="1"/>
    </xf>
    <xf numFmtId="0" fontId="9" fillId="11" borderId="14" xfId="1" applyFont="1" applyFill="1" applyBorder="1" applyAlignment="1">
      <alignment horizontal="center" vertical="center" wrapText="1"/>
    </xf>
    <xf numFmtId="0" fontId="20" fillId="20" borderId="20" xfId="1" applyFont="1" applyFill="1" applyBorder="1" applyAlignment="1">
      <alignment horizontal="left" vertical="center" wrapText="1"/>
    </xf>
    <xf numFmtId="0" fontId="20" fillId="23" borderId="30" xfId="1" applyFont="1" applyFill="1" applyBorder="1" applyAlignment="1">
      <alignment horizontal="left" vertical="center" wrapText="1"/>
    </xf>
    <xf numFmtId="0" fontId="7" fillId="21" borderId="3" xfId="1" applyFont="1" applyFill="1" applyBorder="1" applyAlignment="1">
      <alignment horizontal="center" vertical="center" wrapText="1"/>
    </xf>
    <xf numFmtId="0" fontId="20" fillId="24" borderId="3" xfId="1" applyFont="1" applyFill="1" applyBorder="1" applyAlignment="1">
      <alignment horizontal="left" vertical="center" wrapText="1"/>
    </xf>
    <xf numFmtId="0" fontId="28" fillId="21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left" vertical="center" wrapText="1"/>
    </xf>
    <xf numFmtId="0" fontId="30" fillId="24" borderId="2" xfId="0" applyFont="1" applyFill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</cellXfs>
  <cellStyles count="2">
    <cellStyle name="Standard" xfId="0" builtinId="0"/>
    <cellStyle name="Standard 2" xfId="1" xr:uid="{00000000-0005-0000-0000-000006000000}"/>
  </cellStyles>
  <dxfs count="16">
    <dxf>
      <fill>
        <patternFill>
          <bgColor rgb="FF92D050"/>
        </patternFill>
      </fill>
    </dxf>
    <dxf>
      <fill>
        <patternFill>
          <bgColor theme="5" tint="0.39988402966399123"/>
        </patternFill>
      </fill>
    </dxf>
    <dxf>
      <fill>
        <patternFill>
          <bgColor rgb="FFFF0000"/>
        </patternFill>
      </fill>
    </dxf>
    <dxf>
      <fill>
        <patternFill>
          <bgColor theme="0" tint="-0.14999847407452621"/>
        </patternFill>
      </fill>
    </dxf>
    <dxf>
      <fill>
        <patternFill>
          <bgColor rgb="FF92D050"/>
        </patternFill>
      </fill>
    </dxf>
    <dxf>
      <fill>
        <patternFill>
          <bgColor theme="5" tint="0.39988402966399123"/>
        </patternFill>
      </fill>
    </dxf>
    <dxf>
      <fill>
        <patternFill>
          <bgColor rgb="FFFF0000"/>
        </patternFill>
      </fill>
    </dxf>
    <dxf>
      <fill>
        <patternFill>
          <bgColor theme="0" tint="-0.14999847407452621"/>
        </patternFill>
      </fill>
    </dxf>
    <dxf>
      <fill>
        <patternFill>
          <bgColor rgb="FF92D050"/>
        </patternFill>
      </fill>
    </dxf>
    <dxf>
      <fill>
        <patternFill>
          <bgColor theme="5" tint="0.39988402966399123"/>
        </patternFill>
      </fill>
    </dxf>
    <dxf>
      <fill>
        <patternFill>
          <bgColor rgb="FFFF0000"/>
        </patternFill>
      </fill>
    </dxf>
    <dxf>
      <fill>
        <patternFill>
          <bgColor theme="0" tint="-0.14999847407452621"/>
        </patternFill>
      </fill>
    </dxf>
    <dxf>
      <fill>
        <patternFill>
          <bgColor rgb="FF92D050"/>
        </patternFill>
      </fill>
    </dxf>
    <dxf>
      <fill>
        <patternFill>
          <bgColor theme="5" tint="0.39988402966399123"/>
        </patternFill>
      </fill>
    </dxf>
    <dxf>
      <fill>
        <patternFill>
          <bgColor rgb="FFFF0000"/>
        </patternFill>
      </fill>
    </dxf>
    <dxf>
      <fill>
        <patternFill>
          <bgColor theme="0" tint="-0.1499984740745262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8E8E8"/>
      <rgbColor rgb="FFFF00FF"/>
      <rgbColor rgb="FF66FFFF"/>
      <rgbColor rgb="FF800000"/>
      <rgbColor rgb="FF008000"/>
      <rgbColor rgb="FF000080"/>
      <rgbColor rgb="FFEDE7F3"/>
      <rgbColor rgb="FF800080"/>
      <rgbColor rgb="FF008080"/>
      <rgbColor rgb="FFD1D1D1"/>
      <rgbColor rgb="FF84E291"/>
      <rgbColor rgb="FFC7D2DD"/>
      <rgbColor rgb="FF993366"/>
      <rgbColor rgb="FFFFFDE7"/>
      <rgbColor rgb="FFDCEAF7"/>
      <rgbColor rgb="FF660066"/>
      <rgbColor rgb="FFFF7474"/>
      <rgbColor rgb="FF0066CC"/>
      <rgbColor rgb="FFC5D3FF"/>
      <rgbColor rgb="FF000080"/>
      <rgbColor rgb="FFFF00FF"/>
      <rgbColor rgb="FFD9D9D9"/>
      <rgbColor rgb="FF00FFFF"/>
      <rgbColor rgb="FF800080"/>
      <rgbColor rgb="FF800000"/>
      <rgbColor rgb="FF008080"/>
      <rgbColor rgb="FF0000FF"/>
      <rgbColor rgb="FF00CCFF"/>
      <rgbColor rgb="FFE8F0E4"/>
      <rgbColor rgb="FFD9F2D0"/>
      <rgbColor rgb="FFFBE3D6"/>
      <rgbColor rgb="FFA6CAEC"/>
      <rgbColor rgb="FFE59EDD"/>
      <rgbColor rgb="FFD86ECC"/>
      <rgbColor rgb="FFF6C6AD"/>
      <rgbColor rgb="FF4E95D9"/>
      <rgbColor rgb="FF61CBF4"/>
      <rgbColor rgb="FF92D050"/>
      <rgbColor rgb="FFC9E5C2"/>
      <rgbColor rgb="FFF2AA84"/>
      <rgbColor rgb="FFF2CFEE"/>
      <rgbColor rgb="FFDCE6EF"/>
      <rgbColor rgb="FF8ED973"/>
      <rgbColor rgb="FF003366"/>
      <rgbColor rgb="FF00B050"/>
      <rgbColor rgb="FF003300"/>
      <rgbColor rgb="FF1A1A1A"/>
      <rgbColor rgb="FF993300"/>
      <rgbColor rgb="FF993366"/>
      <rgbColor rgb="FF333399"/>
      <rgbColor rgb="FF2B3A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1_1" displayName="Tabelle1_1" ref="A1:A7" totalsRowShown="0">
  <autoFilter ref="A1:A7" xr:uid="{00000000-0009-0000-0100-000002000000}"/>
  <tableColumns count="1">
    <tableColumn id="1" xr3:uid="{00000000-0010-0000-0000-000001000000}" name="Spalte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le1" displayName="Tabelle1" ref="I5:I11" totalsRowShown="0">
  <autoFilter ref="I5:I11" xr:uid="{00000000-0009-0000-0100-000001000000}"/>
  <tableColumns count="1">
    <tableColumn id="1" xr3:uid="{00000000-0010-0000-0100-000001000000}" name="Spalte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opLeftCell="A45" zoomScaleNormal="100" workbookViewId="0">
      <selection activeCell="A74" sqref="A74"/>
    </sheetView>
  </sheetViews>
  <sheetFormatPr baseColWidth="10" defaultColWidth="10.5546875" defaultRowHeight="14.4" x14ac:dyDescent="0.3"/>
  <cols>
    <col min="1" max="1" width="35.44140625" customWidth="1"/>
    <col min="2" max="8" width="13.77734375" style="15" customWidth="1"/>
    <col min="9" max="9" width="18" customWidth="1"/>
    <col min="10" max="10" width="14.33203125" customWidth="1"/>
    <col min="11" max="11" width="20.109375" customWidth="1"/>
  </cols>
  <sheetData>
    <row r="1" spans="1:17" ht="34.5" customHeight="1" x14ac:dyDescent="0.3">
      <c r="A1" s="16" t="s">
        <v>0</v>
      </c>
    </row>
    <row r="2" spans="1:17" ht="34.5" customHeight="1" x14ac:dyDescent="0.3">
      <c r="A2" s="17" t="s">
        <v>1</v>
      </c>
    </row>
    <row r="3" spans="1:17" ht="34.5" customHeight="1" x14ac:dyDescent="0.3">
      <c r="A3" s="17" t="s">
        <v>2</v>
      </c>
    </row>
    <row r="4" spans="1:17" ht="34.5" customHeight="1" x14ac:dyDescent="0.3">
      <c r="A4" s="17" t="s">
        <v>3</v>
      </c>
    </row>
    <row r="5" spans="1:17" ht="34.5" customHeight="1" x14ac:dyDescent="0.3">
      <c r="A5" s="18" t="s">
        <v>4</v>
      </c>
    </row>
    <row r="6" spans="1:17" ht="34.5" customHeight="1" x14ac:dyDescent="0.3">
      <c r="A6" s="17" t="s">
        <v>5</v>
      </c>
    </row>
    <row r="10" spans="1:17" ht="42.75" customHeight="1" x14ac:dyDescent="0.3">
      <c r="A10" t="s">
        <v>6</v>
      </c>
      <c r="B10" s="15" t="s">
        <v>7</v>
      </c>
      <c r="C10" s="15" t="s">
        <v>8</v>
      </c>
      <c r="D10" s="15" t="s">
        <v>9</v>
      </c>
      <c r="E10" s="15" t="s">
        <v>10</v>
      </c>
      <c r="F10" s="15" t="s">
        <v>11</v>
      </c>
      <c r="G10" s="15" t="s">
        <v>12</v>
      </c>
      <c r="H10" s="15" t="s">
        <v>13</v>
      </c>
      <c r="I10" t="s">
        <v>14</v>
      </c>
      <c r="J10" t="s">
        <v>15</v>
      </c>
      <c r="K10" t="s">
        <v>16</v>
      </c>
    </row>
    <row r="12" spans="1:17" ht="42.75" customHeight="1" x14ac:dyDescent="0.3">
      <c r="A12" t="s">
        <v>17</v>
      </c>
      <c r="B12" s="15" t="s">
        <v>18</v>
      </c>
      <c r="C12" s="15" t="s">
        <v>19</v>
      </c>
      <c r="D12" s="15" t="s">
        <v>20</v>
      </c>
      <c r="E12" s="15" t="s">
        <v>21</v>
      </c>
      <c r="F12" s="15" t="s">
        <v>22</v>
      </c>
      <c r="G12" s="15" t="s">
        <v>23</v>
      </c>
      <c r="H12" s="15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</row>
    <row r="13" spans="1:17" x14ac:dyDescent="0.3">
      <c r="A13" s="19"/>
    </row>
    <row r="14" spans="1:17" ht="42.75" customHeight="1" x14ac:dyDescent="0.3">
      <c r="A14" t="s">
        <v>34</v>
      </c>
      <c r="B14" s="15" t="s">
        <v>35</v>
      </c>
      <c r="C14" s="15" t="s">
        <v>36</v>
      </c>
      <c r="D14" s="15" t="s">
        <v>37</v>
      </c>
      <c r="E14" s="15" t="s">
        <v>38</v>
      </c>
    </row>
    <row r="16" spans="1:17" ht="28.5" customHeight="1" x14ac:dyDescent="0.3">
      <c r="A16" s="20" t="s">
        <v>39</v>
      </c>
      <c r="B16" s="21" t="s">
        <v>40</v>
      </c>
      <c r="C16" s="15" t="s">
        <v>41</v>
      </c>
      <c r="D16" s="15" t="s">
        <v>42</v>
      </c>
    </row>
    <row r="18" spans="1:8" x14ac:dyDescent="0.3">
      <c r="A18" t="s">
        <v>43</v>
      </c>
      <c r="B18" s="15" t="s">
        <v>44</v>
      </c>
      <c r="C18" s="15" t="s">
        <v>45</v>
      </c>
      <c r="D18" s="15" t="s">
        <v>46</v>
      </c>
      <c r="E18" s="15" t="s">
        <v>47</v>
      </c>
      <c r="F18" s="15" t="s">
        <v>48</v>
      </c>
    </row>
    <row r="20" spans="1:8" ht="57" customHeight="1" x14ac:dyDescent="0.3">
      <c r="A20" t="s">
        <v>49</v>
      </c>
      <c r="B20" s="15" t="s">
        <v>50</v>
      </c>
      <c r="C20" s="15" t="s">
        <v>51</v>
      </c>
      <c r="D20" s="15" t="s">
        <v>52</v>
      </c>
      <c r="E20" s="15" t="s">
        <v>53</v>
      </c>
    </row>
    <row r="22" spans="1:8" ht="28.5" customHeight="1" x14ac:dyDescent="0.3">
      <c r="A22" t="s">
        <v>54</v>
      </c>
      <c r="B22" s="15" t="s">
        <v>55</v>
      </c>
      <c r="C22" s="15" t="s">
        <v>56</v>
      </c>
      <c r="D22" s="15" t="s">
        <v>57</v>
      </c>
      <c r="E22" s="15" t="s">
        <v>58</v>
      </c>
    </row>
    <row r="24" spans="1:8" ht="57" customHeight="1" x14ac:dyDescent="0.3">
      <c r="A24" t="s">
        <v>59</v>
      </c>
      <c r="B24" s="15" t="s">
        <v>60</v>
      </c>
      <c r="C24" s="15" t="s">
        <v>61</v>
      </c>
      <c r="D24" s="15" t="s">
        <v>62</v>
      </c>
    </row>
    <row r="26" spans="1:8" x14ac:dyDescent="0.3">
      <c r="A26" t="s">
        <v>63</v>
      </c>
      <c r="B26" s="15" t="s">
        <v>64</v>
      </c>
      <c r="C26" s="15" t="s">
        <v>65</v>
      </c>
      <c r="D26" s="15" t="s">
        <v>66</v>
      </c>
      <c r="E26" s="15" t="s">
        <v>67</v>
      </c>
    </row>
    <row r="28" spans="1:8" ht="57" customHeight="1" x14ac:dyDescent="0.3">
      <c r="A28" t="s">
        <v>68</v>
      </c>
      <c r="B28" s="15" t="s">
        <v>69</v>
      </c>
      <c r="C28" s="15" t="s">
        <v>70</v>
      </c>
      <c r="D28" s="15" t="s">
        <v>71</v>
      </c>
      <c r="E28" s="15" t="s">
        <v>72</v>
      </c>
      <c r="F28" s="15" t="s">
        <v>73</v>
      </c>
      <c r="G28" s="15" t="s">
        <v>74</v>
      </c>
      <c r="H28" s="15" t="s">
        <v>75</v>
      </c>
    </row>
    <row r="30" spans="1:8" ht="42.75" customHeight="1" x14ac:dyDescent="0.3">
      <c r="A30" t="s">
        <v>76</v>
      </c>
      <c r="B30" s="15" t="s">
        <v>77</v>
      </c>
      <c r="C30" s="15" t="s">
        <v>78</v>
      </c>
      <c r="D30" s="15" t="s">
        <v>79</v>
      </c>
    </row>
    <row r="32" spans="1:8" ht="42.75" customHeight="1" x14ac:dyDescent="0.3">
      <c r="A32" t="s">
        <v>80</v>
      </c>
      <c r="B32" s="15" t="s">
        <v>81</v>
      </c>
      <c r="C32" s="15" t="s">
        <v>82</v>
      </c>
      <c r="D32" s="15" t="s">
        <v>83</v>
      </c>
      <c r="E32" s="15" t="s">
        <v>84</v>
      </c>
      <c r="F32" s="15" t="s">
        <v>85</v>
      </c>
    </row>
    <row r="34" spans="1:11" ht="28.5" customHeight="1" x14ac:dyDescent="0.3">
      <c r="A34" t="s">
        <v>86</v>
      </c>
      <c r="B34" s="15" t="s">
        <v>87</v>
      </c>
      <c r="C34" s="15" t="s">
        <v>88</v>
      </c>
      <c r="D34" s="15" t="s">
        <v>89</v>
      </c>
      <c r="E34" s="15" t="s">
        <v>90</v>
      </c>
      <c r="F34" s="15" t="s">
        <v>91</v>
      </c>
      <c r="G34" s="15" t="s">
        <v>92</v>
      </c>
      <c r="H34" s="15" t="s">
        <v>93</v>
      </c>
    </row>
    <row r="36" spans="1:11" ht="42.75" customHeight="1" x14ac:dyDescent="0.3">
      <c r="A36" t="s">
        <v>94</v>
      </c>
      <c r="B36" s="15" t="s">
        <v>95</v>
      </c>
      <c r="C36" s="15" t="s">
        <v>96</v>
      </c>
      <c r="D36" s="15" t="s">
        <v>93</v>
      </c>
    </row>
    <row r="38" spans="1:11" ht="28.5" customHeight="1" x14ac:dyDescent="0.3">
      <c r="A38" t="s">
        <v>97</v>
      </c>
      <c r="B38" s="15" t="s">
        <v>98</v>
      </c>
      <c r="C38" s="15" t="s">
        <v>99</v>
      </c>
      <c r="D38" s="15" t="s">
        <v>100</v>
      </c>
      <c r="E38" s="15" t="s">
        <v>101</v>
      </c>
      <c r="F38" s="15" t="s">
        <v>102</v>
      </c>
      <c r="G38" s="15" t="s">
        <v>103</v>
      </c>
      <c r="H38" s="15" t="s">
        <v>104</v>
      </c>
      <c r="I38" t="s">
        <v>105</v>
      </c>
      <c r="J38" t="s">
        <v>106</v>
      </c>
    </row>
    <row r="40" spans="1:11" ht="28.8" x14ac:dyDescent="0.3">
      <c r="A40" t="s">
        <v>107</v>
      </c>
      <c r="B40" s="15" t="s">
        <v>108</v>
      </c>
      <c r="C40" s="15" t="s">
        <v>109</v>
      </c>
      <c r="D40" s="15" t="s">
        <v>110</v>
      </c>
      <c r="E40" s="15" t="s">
        <v>111</v>
      </c>
    </row>
    <row r="42" spans="1:11" ht="43.2" x14ac:dyDescent="0.3">
      <c r="A42" t="s">
        <v>112</v>
      </c>
      <c r="B42" s="15" t="s">
        <v>113</v>
      </c>
      <c r="C42" s="15" t="s">
        <v>114</v>
      </c>
      <c r="D42" s="15" t="s">
        <v>115</v>
      </c>
      <c r="E42" s="15" t="s">
        <v>116</v>
      </c>
      <c r="F42" s="15" t="s">
        <v>117</v>
      </c>
    </row>
    <row r="43" spans="1:11" ht="57.6" x14ac:dyDescent="0.3">
      <c r="A43" t="s">
        <v>118</v>
      </c>
      <c r="B43" s="15" t="s">
        <v>119</v>
      </c>
      <c r="C43" s="15" t="s">
        <v>120</v>
      </c>
      <c r="D43" s="15" t="s">
        <v>121</v>
      </c>
      <c r="E43" s="15" t="s">
        <v>122</v>
      </c>
    </row>
    <row r="44" spans="1:11" ht="43.2" x14ac:dyDescent="0.3">
      <c r="A44" t="s">
        <v>123</v>
      </c>
      <c r="B44" s="15" t="s">
        <v>124</v>
      </c>
      <c r="C44" s="15" t="s">
        <v>125</v>
      </c>
      <c r="D44" s="15" t="s">
        <v>126</v>
      </c>
      <c r="E44" s="15" t="s">
        <v>127</v>
      </c>
      <c r="F44" s="15" t="s">
        <v>128</v>
      </c>
      <c r="G44" s="15" t="s">
        <v>129</v>
      </c>
      <c r="H44" s="15" t="s">
        <v>130</v>
      </c>
      <c r="I44" t="s">
        <v>131</v>
      </c>
      <c r="J44" t="s">
        <v>132</v>
      </c>
      <c r="K44" t="s">
        <v>133</v>
      </c>
    </row>
    <row r="46" spans="1:11" ht="28.8" x14ac:dyDescent="0.3">
      <c r="A46" t="s">
        <v>134</v>
      </c>
      <c r="B46" s="15" t="s">
        <v>135</v>
      </c>
      <c r="C46" s="15" t="s">
        <v>136</v>
      </c>
      <c r="D46" s="15" t="s">
        <v>137</v>
      </c>
    </row>
    <row r="48" spans="1:11" ht="28.8" x14ac:dyDescent="0.3">
      <c r="A48" t="s">
        <v>138</v>
      </c>
      <c r="B48" s="15" t="s">
        <v>139</v>
      </c>
      <c r="C48" s="15" t="s">
        <v>140</v>
      </c>
      <c r="D48" s="15" t="s">
        <v>141</v>
      </c>
      <c r="E48" s="15" t="s">
        <v>142</v>
      </c>
      <c r="F48" s="15" t="s">
        <v>143</v>
      </c>
      <c r="G48" s="15" t="s">
        <v>144</v>
      </c>
      <c r="H48" s="15" t="s">
        <v>145</v>
      </c>
    </row>
    <row r="50" spans="1:8" ht="28.8" x14ac:dyDescent="0.3">
      <c r="A50" t="s">
        <v>146</v>
      </c>
      <c r="B50" s="15" t="s">
        <v>147</v>
      </c>
      <c r="C50" s="15" t="s">
        <v>148</v>
      </c>
      <c r="D50" s="15" t="s">
        <v>149</v>
      </c>
      <c r="E50" s="15" t="s">
        <v>150</v>
      </c>
      <c r="F50" s="15" t="s">
        <v>151</v>
      </c>
    </row>
    <row r="53" spans="1:8" ht="43.2" x14ac:dyDescent="0.3">
      <c r="A53" t="s">
        <v>152</v>
      </c>
      <c r="B53" s="15" t="s">
        <v>153</v>
      </c>
      <c r="C53" s="15" t="s">
        <v>154</v>
      </c>
      <c r="D53" s="15" t="s">
        <v>155</v>
      </c>
      <c r="E53" s="15" t="s">
        <v>156</v>
      </c>
    </row>
    <row r="55" spans="1:8" ht="90.75" customHeight="1" x14ac:dyDescent="0.3">
      <c r="A55" t="s">
        <v>157</v>
      </c>
      <c r="B55" s="19" t="s">
        <v>158</v>
      </c>
      <c r="C55" s="15" t="s">
        <v>159</v>
      </c>
      <c r="D55" s="15" t="s">
        <v>160</v>
      </c>
      <c r="E55" s="15" t="s">
        <v>161</v>
      </c>
    </row>
    <row r="57" spans="1:8" ht="43.2" x14ac:dyDescent="0.3">
      <c r="A57" t="s">
        <v>162</v>
      </c>
      <c r="B57" s="15" t="s">
        <v>158</v>
      </c>
      <c r="C57" s="15" t="s">
        <v>159</v>
      </c>
      <c r="D57" s="15" t="s">
        <v>163</v>
      </c>
      <c r="E57" s="15" t="s">
        <v>164</v>
      </c>
      <c r="F57" s="15" t="s">
        <v>165</v>
      </c>
    </row>
    <row r="59" spans="1:8" ht="28.8" x14ac:dyDescent="0.3">
      <c r="A59" t="s">
        <v>166</v>
      </c>
      <c r="B59" s="15" t="s">
        <v>167</v>
      </c>
      <c r="C59" s="15" t="s">
        <v>168</v>
      </c>
      <c r="D59" s="15" t="s">
        <v>169</v>
      </c>
    </row>
    <row r="61" spans="1:8" ht="43.2" x14ac:dyDescent="0.3">
      <c r="A61" t="s">
        <v>170</v>
      </c>
      <c r="B61" s="15" t="s">
        <v>171</v>
      </c>
      <c r="C61" s="15" t="s">
        <v>172</v>
      </c>
      <c r="D61" s="15" t="s">
        <v>173</v>
      </c>
      <c r="E61" s="15" t="s">
        <v>174</v>
      </c>
      <c r="F61" s="15" t="s">
        <v>175</v>
      </c>
      <c r="G61" s="15" t="s">
        <v>176</v>
      </c>
      <c r="H61" s="15" t="s">
        <v>177</v>
      </c>
    </row>
    <row r="63" spans="1:8" x14ac:dyDescent="0.3">
      <c r="A63" t="s">
        <v>178</v>
      </c>
      <c r="B63" s="22" t="s">
        <v>179</v>
      </c>
      <c r="C63" s="15" t="s">
        <v>180</v>
      </c>
      <c r="D63" s="15" t="s">
        <v>181</v>
      </c>
      <c r="E63" s="15" t="s">
        <v>182</v>
      </c>
      <c r="F63" s="15" t="s">
        <v>183</v>
      </c>
    </row>
    <row r="65" spans="1:11" x14ac:dyDescent="0.3">
      <c r="A65" t="s">
        <v>184</v>
      </c>
      <c r="B65" s="15">
        <v>1</v>
      </c>
      <c r="C65" s="15" t="s">
        <v>185</v>
      </c>
      <c r="D65" s="15" t="s">
        <v>186</v>
      </c>
      <c r="E65" s="15" t="s">
        <v>187</v>
      </c>
      <c r="F65" s="15" t="s">
        <v>188</v>
      </c>
    </row>
    <row r="67" spans="1:11" ht="43.2" x14ac:dyDescent="0.3">
      <c r="A67" t="s">
        <v>189</v>
      </c>
      <c r="B67" s="15" t="s">
        <v>190</v>
      </c>
      <c r="C67" s="15" t="s">
        <v>191</v>
      </c>
      <c r="D67" s="15" t="s">
        <v>192</v>
      </c>
      <c r="E67" s="15" t="s">
        <v>193</v>
      </c>
      <c r="F67" s="15" t="s">
        <v>194</v>
      </c>
      <c r="G67" s="15" t="s">
        <v>195</v>
      </c>
      <c r="H67" s="15" t="s">
        <v>196</v>
      </c>
      <c r="I67" t="s">
        <v>197</v>
      </c>
      <c r="J67" t="s">
        <v>198</v>
      </c>
      <c r="K67" t="s">
        <v>199</v>
      </c>
    </row>
    <row r="69" spans="1:11" x14ac:dyDescent="0.3">
      <c r="A69" t="s">
        <v>200</v>
      </c>
      <c r="B69" s="15" t="s">
        <v>201</v>
      </c>
      <c r="C69" s="15" t="s">
        <v>202</v>
      </c>
      <c r="D69" s="15" t="s">
        <v>203</v>
      </c>
      <c r="E69" s="15" t="s">
        <v>204</v>
      </c>
      <c r="F69" s="15" t="s">
        <v>205</v>
      </c>
      <c r="G69" s="15" t="s">
        <v>206</v>
      </c>
      <c r="H69" s="15" t="s">
        <v>207</v>
      </c>
    </row>
    <row r="71" spans="1:11" ht="28.8" x14ac:dyDescent="0.3">
      <c r="A71" t="s">
        <v>208</v>
      </c>
      <c r="B71" s="15" t="s">
        <v>209</v>
      </c>
      <c r="C71" s="15" t="s">
        <v>210</v>
      </c>
      <c r="D71" s="15" t="s">
        <v>211</v>
      </c>
      <c r="E71" s="15" t="s">
        <v>212</v>
      </c>
    </row>
    <row r="73" spans="1:11" ht="28.8" x14ac:dyDescent="0.3">
      <c r="A73" t="s">
        <v>213</v>
      </c>
      <c r="B73" s="15" t="s">
        <v>209</v>
      </c>
      <c r="C73" s="15" t="s">
        <v>210</v>
      </c>
      <c r="D73" s="15" t="s">
        <v>211</v>
      </c>
      <c r="E73" s="15" t="s">
        <v>212</v>
      </c>
    </row>
  </sheetData>
  <dataValidations count="1">
    <dataValidation type="list" allowBlank="1" showInputMessage="1" showErrorMessage="1" sqref="A2:A6" xr:uid="{00000000-0002-0000-0000-000000000000}">
      <formula1>RelevanzListe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zoomScaleNormal="100" workbookViewId="0">
      <selection activeCell="C21" sqref="C21"/>
    </sheetView>
  </sheetViews>
  <sheetFormatPr baseColWidth="10" defaultColWidth="10.5546875" defaultRowHeight="14.4" x14ac:dyDescent="0.3"/>
  <cols>
    <col min="1" max="1" width="12.88671875" customWidth="1"/>
  </cols>
  <sheetData>
    <row r="1" spans="1:1" x14ac:dyDescent="0.3">
      <c r="A1" t="s">
        <v>214</v>
      </c>
    </row>
    <row r="2" spans="1:1" x14ac:dyDescent="0.3">
      <c r="A2" t="s">
        <v>215</v>
      </c>
    </row>
    <row r="3" spans="1:1" x14ac:dyDescent="0.3">
      <c r="A3" t="s">
        <v>216</v>
      </c>
    </row>
    <row r="4" spans="1:1" x14ac:dyDescent="0.3">
      <c r="A4" t="s">
        <v>217</v>
      </c>
    </row>
    <row r="5" spans="1:1" x14ac:dyDescent="0.3">
      <c r="A5" t="s">
        <v>218</v>
      </c>
    </row>
    <row r="6" spans="1:1" x14ac:dyDescent="0.3">
      <c r="A6" t="s">
        <v>219</v>
      </c>
    </row>
    <row r="7" spans="1:1" x14ac:dyDescent="0.3">
      <c r="A7" t="s">
        <v>220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O18"/>
  <sheetViews>
    <sheetView zoomScaleNormal="100" workbookViewId="0">
      <pane ySplit="4" topLeftCell="A5" activePane="bottomLeft" state="frozen"/>
      <selection pane="bottomLeft" activeCell="A5" sqref="A5"/>
    </sheetView>
  </sheetViews>
  <sheetFormatPr baseColWidth="10" defaultColWidth="8.6640625" defaultRowHeight="14.4" x14ac:dyDescent="0.3"/>
  <cols>
    <col min="1" max="1" width="28.5546875" style="23" customWidth="1"/>
    <col min="2" max="7" width="16" style="23" customWidth="1"/>
    <col min="8" max="8" width="8.6640625" style="23"/>
    <col min="9" max="9" width="25.21875" style="23" customWidth="1"/>
    <col min="10" max="16384" width="8.6640625" style="23"/>
  </cols>
  <sheetData>
    <row r="1" spans="1:15" ht="45.75" customHeight="1" x14ac:dyDescent="0.3">
      <c r="A1" s="11" t="s">
        <v>221</v>
      </c>
      <c r="B1" s="11"/>
      <c r="C1" s="11"/>
      <c r="D1" s="11"/>
      <c r="E1" s="11"/>
      <c r="F1" s="11"/>
      <c r="G1" s="11"/>
    </row>
    <row r="2" spans="1:15" ht="45.75" customHeight="1" x14ac:dyDescent="0.3">
      <c r="A2" s="10" t="s">
        <v>222</v>
      </c>
      <c r="B2" s="10"/>
      <c r="C2" s="10"/>
      <c r="D2" s="10"/>
      <c r="E2" s="10"/>
      <c r="F2" s="10"/>
      <c r="G2" s="10"/>
    </row>
    <row r="4" spans="1:15" ht="45.75" customHeight="1" x14ac:dyDescent="0.3">
      <c r="A4" s="24" t="s">
        <v>223</v>
      </c>
      <c r="B4" s="25" t="s">
        <v>215</v>
      </c>
      <c r="C4" s="25" t="s">
        <v>216</v>
      </c>
      <c r="D4" s="25" t="s">
        <v>217</v>
      </c>
      <c r="E4" s="25" t="s">
        <v>218</v>
      </c>
      <c r="F4" s="25" t="s">
        <v>219</v>
      </c>
      <c r="G4" s="25" t="s">
        <v>220</v>
      </c>
      <c r="I4" s="9" t="s">
        <v>224</v>
      </c>
      <c r="J4" s="9"/>
      <c r="K4" s="9"/>
      <c r="L4" s="9"/>
      <c r="M4" s="9"/>
      <c r="N4" s="9"/>
      <c r="O4" s="9"/>
    </row>
    <row r="5" spans="1:15" ht="45.75" customHeight="1" x14ac:dyDescent="0.3">
      <c r="A5" s="26" t="s">
        <v>225</v>
      </c>
      <c r="B5" s="27" t="s">
        <v>226</v>
      </c>
      <c r="C5" s="27" t="s">
        <v>227</v>
      </c>
      <c r="D5" s="27" t="s">
        <v>228</v>
      </c>
      <c r="E5" s="27" t="s">
        <v>229</v>
      </c>
      <c r="F5" s="27" t="s">
        <v>230</v>
      </c>
      <c r="G5" s="27" t="s">
        <v>231</v>
      </c>
      <c r="I5" s="28" t="s">
        <v>214</v>
      </c>
      <c r="J5" s="8" t="s">
        <v>232</v>
      </c>
      <c r="K5" s="8"/>
      <c r="L5" s="8"/>
      <c r="M5" s="8"/>
      <c r="N5" s="8"/>
      <c r="O5" s="8"/>
    </row>
    <row r="6" spans="1:15" ht="45.75" customHeight="1" x14ac:dyDescent="0.3">
      <c r="A6" s="26" t="s">
        <v>233</v>
      </c>
      <c r="B6" s="29" t="s">
        <v>234</v>
      </c>
      <c r="C6" s="29" t="s">
        <v>235</v>
      </c>
      <c r="D6" s="29" t="s">
        <v>236</v>
      </c>
      <c r="E6" s="29" t="s">
        <v>237</v>
      </c>
      <c r="F6" s="29" t="s">
        <v>238</v>
      </c>
      <c r="G6" s="29" t="s">
        <v>239</v>
      </c>
      <c r="I6" s="30" t="s">
        <v>215</v>
      </c>
      <c r="J6" s="7" t="s">
        <v>240</v>
      </c>
      <c r="K6" s="7"/>
      <c r="L6" s="7"/>
      <c r="M6" s="7"/>
      <c r="N6" s="7"/>
      <c r="O6" s="7"/>
    </row>
    <row r="7" spans="1:15" ht="45.75" customHeight="1" x14ac:dyDescent="0.3">
      <c r="A7" s="26" t="s">
        <v>241</v>
      </c>
      <c r="B7" s="27" t="s">
        <v>242</v>
      </c>
      <c r="C7" s="27" t="s">
        <v>243</v>
      </c>
      <c r="D7" s="27" t="s">
        <v>244</v>
      </c>
      <c r="E7" s="27" t="s">
        <v>245</v>
      </c>
      <c r="F7" s="27" t="s">
        <v>246</v>
      </c>
      <c r="G7" s="27" t="s">
        <v>247</v>
      </c>
      <c r="I7" s="30" t="s">
        <v>216</v>
      </c>
      <c r="J7" s="8" t="s">
        <v>248</v>
      </c>
      <c r="K7" s="8"/>
      <c r="L7" s="8"/>
      <c r="M7" s="8"/>
      <c r="N7" s="8"/>
      <c r="O7" s="8"/>
    </row>
    <row r="8" spans="1:15" ht="45.75" customHeight="1" x14ac:dyDescent="0.3">
      <c r="A8" s="26" t="s">
        <v>249</v>
      </c>
      <c r="B8" s="29" t="s">
        <v>250</v>
      </c>
      <c r="C8" s="29" t="s">
        <v>251</v>
      </c>
      <c r="D8" s="29" t="s">
        <v>252</v>
      </c>
      <c r="E8" s="29" t="s">
        <v>253</v>
      </c>
      <c r="F8" s="29" t="s">
        <v>254</v>
      </c>
      <c r="G8" s="29" t="s">
        <v>255</v>
      </c>
      <c r="I8" s="30" t="s">
        <v>217</v>
      </c>
      <c r="J8" s="7" t="s">
        <v>256</v>
      </c>
      <c r="K8" s="7"/>
      <c r="L8" s="7"/>
      <c r="M8" s="7"/>
      <c r="N8" s="7"/>
      <c r="O8" s="7"/>
    </row>
    <row r="9" spans="1:15" ht="45.75" customHeight="1" x14ac:dyDescent="0.3">
      <c r="I9" s="30" t="s">
        <v>218</v>
      </c>
      <c r="J9" s="8" t="s">
        <v>257</v>
      </c>
      <c r="K9" s="8"/>
      <c r="L9" s="8"/>
      <c r="M9" s="8"/>
      <c r="N9" s="8"/>
      <c r="O9" s="8"/>
    </row>
    <row r="10" spans="1:15" ht="45.75" customHeight="1" x14ac:dyDescent="0.3">
      <c r="I10" s="30" t="s">
        <v>219</v>
      </c>
      <c r="J10" s="7" t="s">
        <v>258</v>
      </c>
      <c r="K10" s="7"/>
      <c r="L10" s="7"/>
      <c r="M10" s="7"/>
      <c r="N10" s="7"/>
      <c r="O10" s="7"/>
    </row>
    <row r="11" spans="1:15" ht="45.75" customHeight="1" x14ac:dyDescent="0.3">
      <c r="I11" s="31" t="s">
        <v>220</v>
      </c>
    </row>
    <row r="18" spans="1:7" ht="45.75" customHeight="1" x14ac:dyDescent="0.3">
      <c r="A18" s="6" t="s">
        <v>259</v>
      </c>
      <c r="B18" s="6"/>
      <c r="C18" s="6"/>
      <c r="D18" s="6"/>
      <c r="E18" s="6"/>
      <c r="F18" s="6"/>
      <c r="G18" s="6"/>
    </row>
  </sheetData>
  <mergeCells count="10">
    <mergeCell ref="J7:O7"/>
    <mergeCell ref="J8:O8"/>
    <mergeCell ref="J9:O9"/>
    <mergeCell ref="J10:O10"/>
    <mergeCell ref="A18:G18"/>
    <mergeCell ref="A1:G1"/>
    <mergeCell ref="A2:G2"/>
    <mergeCell ref="I4:O4"/>
    <mergeCell ref="J5:O5"/>
    <mergeCell ref="J6:O6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D9"/>
  <sheetViews>
    <sheetView zoomScaleNormal="100" workbookViewId="0">
      <pane ySplit="3" topLeftCell="A4" activePane="bottomLeft" state="frozen"/>
      <selection pane="bottomLeft" activeCell="C4" sqref="C4"/>
    </sheetView>
  </sheetViews>
  <sheetFormatPr baseColWidth="10" defaultColWidth="10.5546875" defaultRowHeight="14.4" x14ac:dyDescent="0.3"/>
  <cols>
    <col min="2" max="2" width="25" customWidth="1"/>
    <col min="3" max="3" width="31.5546875" customWidth="1"/>
    <col min="4" max="4" width="53.21875" customWidth="1"/>
  </cols>
  <sheetData>
    <row r="1" spans="1:4" ht="28.5" customHeight="1" x14ac:dyDescent="0.3">
      <c r="A1" s="5" t="s">
        <v>260</v>
      </c>
      <c r="B1" s="5"/>
      <c r="C1" s="5"/>
      <c r="D1" s="5"/>
    </row>
    <row r="2" spans="1:4" ht="39.75" customHeight="1" x14ac:dyDescent="0.3">
      <c r="A2" s="4" t="s">
        <v>261</v>
      </c>
      <c r="B2" s="4"/>
      <c r="C2" s="4"/>
      <c r="D2" s="4"/>
    </row>
    <row r="3" spans="1:4" ht="30" customHeight="1" x14ac:dyDescent="0.3">
      <c r="A3" s="32" t="s">
        <v>262</v>
      </c>
      <c r="B3" s="32" t="s">
        <v>263</v>
      </c>
      <c r="C3" s="32" t="s">
        <v>264</v>
      </c>
      <c r="D3" s="32" t="s">
        <v>265</v>
      </c>
    </row>
    <row r="4" spans="1:4" s="34" customFormat="1" ht="92.25" customHeight="1" x14ac:dyDescent="0.3">
      <c r="A4" s="33" t="s">
        <v>266</v>
      </c>
      <c r="B4" s="20" t="s">
        <v>267</v>
      </c>
      <c r="C4" s="20" t="s">
        <v>268</v>
      </c>
      <c r="D4" s="21" t="s">
        <v>269</v>
      </c>
    </row>
    <row r="5" spans="1:4" s="34" customFormat="1" ht="92.25" customHeight="1" x14ac:dyDescent="0.3">
      <c r="A5" s="35" t="s">
        <v>270</v>
      </c>
      <c r="B5" s="35" t="s">
        <v>271</v>
      </c>
      <c r="C5" s="35" t="s">
        <v>272</v>
      </c>
      <c r="D5" s="36" t="s">
        <v>273</v>
      </c>
    </row>
    <row r="6" spans="1:4" s="34" customFormat="1" ht="92.25" customHeight="1" x14ac:dyDescent="0.3">
      <c r="A6" s="33" t="s">
        <v>274</v>
      </c>
      <c r="B6" s="20" t="s">
        <v>275</v>
      </c>
      <c r="C6" s="20" t="s">
        <v>276</v>
      </c>
      <c r="D6" s="21" t="s">
        <v>277</v>
      </c>
    </row>
    <row r="7" spans="1:4" s="34" customFormat="1" ht="92.25" customHeight="1" x14ac:dyDescent="0.3">
      <c r="A7" s="35" t="s">
        <v>278</v>
      </c>
      <c r="B7" s="35" t="s">
        <v>279</v>
      </c>
      <c r="C7" s="35" t="s">
        <v>280</v>
      </c>
      <c r="D7" s="36" t="s">
        <v>281</v>
      </c>
    </row>
    <row r="8" spans="1:4" x14ac:dyDescent="0.3">
      <c r="A8" s="37"/>
      <c r="B8" s="37"/>
      <c r="C8" s="37"/>
      <c r="D8" s="37"/>
    </row>
    <row r="9" spans="1:4" ht="47.25" customHeight="1" x14ac:dyDescent="0.3">
      <c r="A9" s="3" t="s">
        <v>282</v>
      </c>
      <c r="B9" s="3"/>
      <c r="C9" s="3"/>
      <c r="D9" s="3"/>
    </row>
  </sheetData>
  <mergeCells count="3">
    <mergeCell ref="A1:D1"/>
    <mergeCell ref="A2:D2"/>
    <mergeCell ref="A9:D9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13"/>
  <sheetViews>
    <sheetView zoomScaleNormal="100" workbookViewId="0">
      <pane ySplit="5" topLeftCell="A6" activePane="bottomLeft" state="frozen"/>
      <selection pane="bottomLeft" activeCell="C10" sqref="C10"/>
    </sheetView>
  </sheetViews>
  <sheetFormatPr baseColWidth="10" defaultColWidth="8.6640625" defaultRowHeight="14.4" x14ac:dyDescent="0.3"/>
  <cols>
    <col min="1" max="1" width="30" style="38" customWidth="1"/>
    <col min="2" max="5" width="25.88671875" style="38" customWidth="1"/>
    <col min="6" max="16384" width="8.6640625" style="38"/>
  </cols>
  <sheetData>
    <row r="1" spans="1:5" ht="27.75" customHeight="1" x14ac:dyDescent="0.3">
      <c r="A1" s="2" t="s">
        <v>283</v>
      </c>
      <c r="B1" s="2"/>
      <c r="C1" s="2"/>
      <c r="D1" s="2"/>
      <c r="E1" s="2"/>
    </row>
    <row r="2" spans="1:5" ht="55.5" customHeight="1" x14ac:dyDescent="0.3">
      <c r="A2" s="10" t="s">
        <v>284</v>
      </c>
      <c r="B2" s="10"/>
      <c r="C2" s="10"/>
      <c r="D2" s="10"/>
      <c r="E2" s="10"/>
    </row>
    <row r="3" spans="1:5" ht="27.75" customHeight="1" x14ac:dyDescent="0.3">
      <c r="A3" s="1" t="s">
        <v>285</v>
      </c>
      <c r="B3" s="1"/>
      <c r="C3" s="1"/>
      <c r="D3" s="1"/>
      <c r="E3" s="1"/>
    </row>
    <row r="5" spans="1:5" ht="27.75" customHeight="1" x14ac:dyDescent="0.3">
      <c r="A5" s="39" t="s">
        <v>286</v>
      </c>
      <c r="B5" s="40" t="s">
        <v>287</v>
      </c>
      <c r="C5" s="40" t="s">
        <v>288</v>
      </c>
      <c r="D5" s="40" t="s">
        <v>289</v>
      </c>
      <c r="E5" s="40" t="s">
        <v>290</v>
      </c>
    </row>
    <row r="6" spans="1:5" ht="27.75" customHeight="1" x14ac:dyDescent="0.3">
      <c r="A6" s="41" t="s">
        <v>215</v>
      </c>
      <c r="B6" s="42" t="s">
        <v>291</v>
      </c>
      <c r="C6" s="43"/>
      <c r="D6" s="43"/>
      <c r="E6" s="43"/>
    </row>
    <row r="7" spans="1:5" ht="27.75" customHeight="1" x14ac:dyDescent="0.3">
      <c r="A7" s="41" t="s">
        <v>216</v>
      </c>
      <c r="B7" s="42" t="s">
        <v>291</v>
      </c>
      <c r="C7" s="44"/>
      <c r="D7" s="45" t="s">
        <v>292</v>
      </c>
      <c r="E7" s="44"/>
    </row>
    <row r="8" spans="1:5" ht="27.75" customHeight="1" x14ac:dyDescent="0.3">
      <c r="A8" s="41" t="s">
        <v>217</v>
      </c>
      <c r="B8" s="42" t="s">
        <v>291</v>
      </c>
      <c r="C8" s="43"/>
      <c r="D8" s="43"/>
      <c r="E8" s="42" t="s">
        <v>291</v>
      </c>
    </row>
    <row r="9" spans="1:5" ht="27.75" customHeight="1" x14ac:dyDescent="0.3">
      <c r="A9" s="41" t="s">
        <v>218</v>
      </c>
      <c r="B9" s="42" t="s">
        <v>291</v>
      </c>
      <c r="C9" s="44"/>
      <c r="D9" s="45" t="s">
        <v>292</v>
      </c>
      <c r="E9" s="45" t="s">
        <v>292</v>
      </c>
    </row>
    <row r="10" spans="1:5" ht="27.75" customHeight="1" x14ac:dyDescent="0.3">
      <c r="A10" s="41" t="s">
        <v>219</v>
      </c>
      <c r="B10" s="42" t="s">
        <v>291</v>
      </c>
      <c r="C10" s="45" t="s">
        <v>292</v>
      </c>
      <c r="D10" s="42" t="s">
        <v>291</v>
      </c>
      <c r="E10" s="42" t="s">
        <v>291</v>
      </c>
    </row>
    <row r="11" spans="1:5" ht="27.75" customHeight="1" x14ac:dyDescent="0.3">
      <c r="A11" s="41" t="s">
        <v>220</v>
      </c>
      <c r="B11" s="42" t="s">
        <v>291</v>
      </c>
      <c r="C11" s="45" t="s">
        <v>292</v>
      </c>
      <c r="D11" s="42" t="s">
        <v>291</v>
      </c>
      <c r="E11" s="42" t="s">
        <v>291</v>
      </c>
    </row>
    <row r="13" spans="1:5" ht="27.75" customHeight="1" x14ac:dyDescent="0.3">
      <c r="A13" s="6" t="s">
        <v>293</v>
      </c>
      <c r="B13" s="6"/>
      <c r="C13" s="6"/>
      <c r="D13" s="6"/>
      <c r="E13" s="6"/>
    </row>
  </sheetData>
  <mergeCells count="4">
    <mergeCell ref="A1:E1"/>
    <mergeCell ref="A2:E2"/>
    <mergeCell ref="A3:E3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BE3D6"/>
  </sheetPr>
  <dimension ref="A1:G15"/>
  <sheetViews>
    <sheetView zoomScaleNormal="100" workbookViewId="0">
      <pane ySplit="4" topLeftCell="A5" activePane="bottomLeft" state="frozen"/>
      <selection pane="bottomLeft" activeCell="A2" sqref="A2:E2"/>
    </sheetView>
  </sheetViews>
  <sheetFormatPr baseColWidth="10" defaultColWidth="11.5546875" defaultRowHeight="15" x14ac:dyDescent="0.3"/>
  <cols>
    <col min="1" max="1" width="11.5546875" style="18"/>
    <col min="2" max="2" width="26.88671875" style="18" customWidth="1"/>
    <col min="3" max="3" width="54.21875" style="18" customWidth="1"/>
    <col min="4" max="4" width="23.88671875" style="18" customWidth="1"/>
    <col min="5" max="5" width="27.6640625" style="46" customWidth="1"/>
    <col min="6" max="6" width="11.5546875" style="47"/>
    <col min="7" max="7" width="28" customWidth="1"/>
    <col min="8" max="16384" width="11.5546875" style="47"/>
  </cols>
  <sheetData>
    <row r="1" spans="1:7" ht="50.25" customHeight="1" x14ac:dyDescent="0.25">
      <c r="A1" s="135" t="s">
        <v>294</v>
      </c>
      <c r="B1" s="135"/>
      <c r="C1" s="135"/>
      <c r="D1" s="135"/>
      <c r="E1" s="135"/>
      <c r="G1" s="48" t="s">
        <v>0</v>
      </c>
    </row>
    <row r="2" spans="1:7" ht="50.25" customHeight="1" x14ac:dyDescent="0.25">
      <c r="A2" s="13" t="s">
        <v>295</v>
      </c>
      <c r="B2" s="13"/>
      <c r="C2" s="13"/>
      <c r="D2" s="13"/>
      <c r="E2" s="13"/>
      <c r="G2" s="49" t="s">
        <v>1</v>
      </c>
    </row>
    <row r="3" spans="1:7" s="50" customFormat="1" ht="50.25" customHeight="1" x14ac:dyDescent="0.25">
      <c r="A3" s="18"/>
      <c r="B3" s="18"/>
      <c r="C3" s="18"/>
      <c r="D3" s="18"/>
      <c r="E3" s="46"/>
      <c r="G3" s="49" t="s">
        <v>2</v>
      </c>
    </row>
    <row r="4" spans="1:7" ht="50.25" customHeight="1" x14ac:dyDescent="0.25">
      <c r="A4" s="51" t="s">
        <v>296</v>
      </c>
      <c r="B4" s="52" t="s">
        <v>297</v>
      </c>
      <c r="C4" s="53" t="s">
        <v>298</v>
      </c>
      <c r="D4" s="51" t="s">
        <v>299</v>
      </c>
      <c r="E4" s="51" t="s">
        <v>0</v>
      </c>
      <c r="G4" s="49" t="s">
        <v>3</v>
      </c>
    </row>
    <row r="5" spans="1:7" s="54" customFormat="1" ht="50.25" customHeight="1" x14ac:dyDescent="0.3">
      <c r="A5" s="21">
        <v>1</v>
      </c>
      <c r="B5" s="20" t="s">
        <v>300</v>
      </c>
      <c r="C5" s="21" t="s">
        <v>301</v>
      </c>
      <c r="D5" s="21" t="s">
        <v>302</v>
      </c>
      <c r="E5" s="21"/>
      <c r="G5" s="55" t="s">
        <v>4</v>
      </c>
    </row>
    <row r="6" spans="1:7" ht="63" customHeight="1" x14ac:dyDescent="0.25">
      <c r="A6" s="36">
        <v>2</v>
      </c>
      <c r="B6" s="35" t="s">
        <v>303</v>
      </c>
      <c r="C6" s="36" t="s">
        <v>304</v>
      </c>
      <c r="D6" s="36" t="s">
        <v>305</v>
      </c>
      <c r="E6" s="21"/>
      <c r="G6" s="49" t="s">
        <v>5</v>
      </c>
    </row>
    <row r="7" spans="1:7" ht="63" customHeight="1" x14ac:dyDescent="0.3">
      <c r="A7" s="21">
        <v>3</v>
      </c>
      <c r="B7" s="20" t="s">
        <v>306</v>
      </c>
      <c r="C7" s="21" t="s">
        <v>307</v>
      </c>
      <c r="D7" s="21" t="s">
        <v>308</v>
      </c>
      <c r="E7" s="21"/>
      <c r="G7" s="56"/>
    </row>
    <row r="8" spans="1:7" ht="63" customHeight="1" x14ac:dyDescent="0.3">
      <c r="A8" s="36">
        <v>4</v>
      </c>
      <c r="B8" s="35" t="s">
        <v>309</v>
      </c>
      <c r="C8" s="36" t="s">
        <v>310</v>
      </c>
      <c r="D8" s="36" t="s">
        <v>311</v>
      </c>
      <c r="E8" s="57"/>
    </row>
    <row r="9" spans="1:7" ht="63" customHeight="1" x14ac:dyDescent="0.3">
      <c r="A9" s="21">
        <v>5</v>
      </c>
      <c r="B9" s="20" t="s">
        <v>312</v>
      </c>
      <c r="C9" s="21" t="s">
        <v>313</v>
      </c>
      <c r="D9" s="21" t="s">
        <v>314</v>
      </c>
      <c r="E9" s="21"/>
    </row>
    <row r="10" spans="1:7" ht="63" customHeight="1" x14ac:dyDescent="0.3">
      <c r="A10" s="36">
        <v>6</v>
      </c>
      <c r="B10" s="35" t="s">
        <v>315</v>
      </c>
      <c r="C10" s="36" t="s">
        <v>316</v>
      </c>
      <c r="D10" s="36" t="s">
        <v>317</v>
      </c>
      <c r="E10" s="21"/>
    </row>
    <row r="11" spans="1:7" ht="63" customHeight="1" x14ac:dyDescent="0.3">
      <c r="A11" s="21">
        <v>7</v>
      </c>
      <c r="B11" s="20" t="s">
        <v>318</v>
      </c>
      <c r="C11" s="21" t="s">
        <v>319</v>
      </c>
      <c r="D11" s="21" t="s">
        <v>320</v>
      </c>
      <c r="E11" s="21"/>
    </row>
    <row r="12" spans="1:7" ht="63" customHeight="1" x14ac:dyDescent="0.3">
      <c r="A12" s="36">
        <v>8</v>
      </c>
      <c r="B12" s="35" t="s">
        <v>321</v>
      </c>
      <c r="C12" s="36" t="s">
        <v>322</v>
      </c>
      <c r="D12" s="36" t="s">
        <v>323</v>
      </c>
      <c r="E12" s="21"/>
    </row>
    <row r="13" spans="1:7" ht="63" customHeight="1" x14ac:dyDescent="0.3"/>
    <row r="14" spans="1:7" ht="50.25" customHeight="1" x14ac:dyDescent="0.3">
      <c r="A14" s="136" t="s">
        <v>324</v>
      </c>
      <c r="B14" s="136"/>
      <c r="C14" s="136"/>
      <c r="D14" s="136"/>
      <c r="E14" s="136"/>
    </row>
    <row r="15" spans="1:7" ht="50.25" customHeight="1" x14ac:dyDescent="0.3">
      <c r="A15" s="136"/>
      <c r="B15" s="136"/>
      <c r="C15" s="136"/>
      <c r="D15" s="136"/>
      <c r="E15" s="136"/>
    </row>
  </sheetData>
  <mergeCells count="3">
    <mergeCell ref="A1:E1"/>
    <mergeCell ref="A2:E2"/>
    <mergeCell ref="A14:E15"/>
  </mergeCells>
  <dataValidations count="2">
    <dataValidation type="list" allowBlank="1" showInputMessage="1" showErrorMessage="1" sqref="E5:E12" xr:uid="{00000000-0002-0000-0500-000000000000}">
      <formula1>$G$2:$G$7</formula1>
      <formula2>0</formula2>
    </dataValidation>
    <dataValidation type="list" allowBlank="1" showInputMessage="1" showErrorMessage="1" sqref="G2:G6" xr:uid="{00000000-0002-0000-0500-000001000000}">
      <formula1>RelevanzListe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6CAEC"/>
  </sheetPr>
  <dimension ref="A1:G1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8" sqref="C8"/>
    </sheetView>
  </sheetViews>
  <sheetFormatPr baseColWidth="10" defaultColWidth="11.5546875" defaultRowHeight="15" x14ac:dyDescent="0.3"/>
  <cols>
    <col min="1" max="1" width="11.5546875" style="18"/>
    <col min="2" max="2" width="26.88671875" style="58" customWidth="1"/>
    <col min="3" max="3" width="47.109375" style="59" customWidth="1"/>
    <col min="4" max="4" width="38.33203125" style="18" customWidth="1"/>
    <col min="5" max="5" width="27.6640625" style="46" customWidth="1"/>
    <col min="6" max="6" width="11.5546875" style="47"/>
    <col min="7" max="7" width="28" customWidth="1"/>
    <col min="8" max="9" width="29.88671875" style="60" customWidth="1"/>
    <col min="10" max="16384" width="11.5546875" style="60"/>
  </cols>
  <sheetData>
    <row r="1" spans="1:7" ht="39.75" customHeight="1" x14ac:dyDescent="0.25">
      <c r="A1" s="14" t="s">
        <v>325</v>
      </c>
      <c r="B1" s="14"/>
      <c r="C1" s="14"/>
      <c r="D1" s="14"/>
      <c r="E1" s="14"/>
      <c r="G1" s="48" t="s">
        <v>0</v>
      </c>
    </row>
    <row r="2" spans="1:7" x14ac:dyDescent="0.25">
      <c r="A2" s="13" t="s">
        <v>326</v>
      </c>
      <c r="B2" s="13"/>
      <c r="C2" s="13"/>
      <c r="D2" s="13"/>
      <c r="E2" s="13"/>
      <c r="G2" s="49" t="s">
        <v>1</v>
      </c>
    </row>
    <row r="3" spans="1:7" s="61" customFormat="1" ht="17.25" customHeight="1" x14ac:dyDescent="0.25">
      <c r="A3" s="18"/>
      <c r="B3" s="58"/>
      <c r="C3" s="59"/>
      <c r="D3" s="18"/>
      <c r="E3" s="46"/>
      <c r="F3" s="50"/>
      <c r="G3" s="49" t="s">
        <v>2</v>
      </c>
    </row>
    <row r="4" spans="1:7" ht="15" customHeight="1" x14ac:dyDescent="0.25">
      <c r="A4" s="51" t="s">
        <v>296</v>
      </c>
      <c r="B4" s="52" t="s">
        <v>327</v>
      </c>
      <c r="C4" s="53" t="s">
        <v>328</v>
      </c>
      <c r="D4" s="51" t="s">
        <v>329</v>
      </c>
      <c r="E4" s="51" t="s">
        <v>0</v>
      </c>
      <c r="G4" s="49" t="s">
        <v>3</v>
      </c>
    </row>
    <row r="5" spans="1:7" s="50" customFormat="1" ht="62.25" customHeight="1" x14ac:dyDescent="0.3">
      <c r="A5" s="33" t="s">
        <v>330</v>
      </c>
      <c r="B5" s="20" t="s">
        <v>152</v>
      </c>
      <c r="C5" s="21" t="s">
        <v>331</v>
      </c>
      <c r="D5" s="21" t="s">
        <v>332</v>
      </c>
      <c r="E5" s="21" t="s">
        <v>4</v>
      </c>
      <c r="F5" s="54"/>
      <c r="G5" s="55" t="s">
        <v>4</v>
      </c>
    </row>
    <row r="6" spans="1:7" s="47" customFormat="1" ht="90.75" customHeight="1" x14ac:dyDescent="0.25">
      <c r="A6" s="62" t="s">
        <v>333</v>
      </c>
      <c r="B6" s="35" t="s">
        <v>334</v>
      </c>
      <c r="C6" s="36" t="s">
        <v>335</v>
      </c>
      <c r="D6" s="36" t="s">
        <v>336</v>
      </c>
      <c r="E6" s="21" t="s">
        <v>2</v>
      </c>
      <c r="G6" s="49" t="s">
        <v>5</v>
      </c>
    </row>
    <row r="7" spans="1:7" s="47" customFormat="1" ht="90.75" customHeight="1" x14ac:dyDescent="0.3">
      <c r="A7" s="20" t="s">
        <v>337</v>
      </c>
      <c r="B7" s="20" t="s">
        <v>338</v>
      </c>
      <c r="C7" s="21" t="s">
        <v>339</v>
      </c>
      <c r="D7" s="21" t="s">
        <v>340</v>
      </c>
      <c r="E7" s="21" t="s">
        <v>4</v>
      </c>
      <c r="G7" s="56"/>
    </row>
    <row r="8" spans="1:7" s="47" customFormat="1" ht="90.75" customHeight="1" x14ac:dyDescent="0.25">
      <c r="A8" s="35" t="s">
        <v>341</v>
      </c>
      <c r="B8" s="35" t="s">
        <v>157</v>
      </c>
      <c r="C8" s="36" t="s">
        <v>342</v>
      </c>
      <c r="D8" s="36" t="s">
        <v>343</v>
      </c>
      <c r="E8" s="57" t="s">
        <v>3</v>
      </c>
    </row>
    <row r="9" spans="1:7" s="47" customFormat="1" ht="90.75" customHeight="1" x14ac:dyDescent="0.25">
      <c r="A9" s="20" t="s">
        <v>344</v>
      </c>
      <c r="B9" s="20" t="s">
        <v>162</v>
      </c>
      <c r="C9" s="21" t="s">
        <v>345</v>
      </c>
      <c r="D9" s="21" t="s">
        <v>343</v>
      </c>
      <c r="E9" s="21" t="s">
        <v>3</v>
      </c>
    </row>
    <row r="10" spans="1:7" s="47" customFormat="1" ht="90.75" customHeight="1" x14ac:dyDescent="0.25">
      <c r="A10" s="35" t="s">
        <v>346</v>
      </c>
      <c r="B10" s="35" t="s">
        <v>347</v>
      </c>
      <c r="C10" s="36" t="s">
        <v>348</v>
      </c>
      <c r="D10" s="36" t="s">
        <v>349</v>
      </c>
      <c r="E10" s="21" t="s">
        <v>3</v>
      </c>
    </row>
    <row r="11" spans="1:7" s="47" customFormat="1" ht="90.75" customHeight="1" x14ac:dyDescent="0.25">
      <c r="A11" s="20" t="s">
        <v>350</v>
      </c>
      <c r="B11" s="20" t="s">
        <v>351</v>
      </c>
      <c r="C11" s="21" t="s">
        <v>352</v>
      </c>
      <c r="D11" s="21" t="s">
        <v>343</v>
      </c>
      <c r="E11" s="21" t="s">
        <v>5</v>
      </c>
    </row>
    <row r="12" spans="1:7" s="47" customFormat="1" ht="90.75" customHeight="1" x14ac:dyDescent="0.25">
      <c r="A12" s="35" t="s">
        <v>353</v>
      </c>
      <c r="B12" s="35" t="s">
        <v>170</v>
      </c>
      <c r="C12" s="36" t="s">
        <v>354</v>
      </c>
      <c r="D12" s="36" t="s">
        <v>355</v>
      </c>
      <c r="E12" s="21" t="s">
        <v>5</v>
      </c>
    </row>
    <row r="13" spans="1:7" s="47" customFormat="1" ht="90.75" customHeight="1" x14ac:dyDescent="0.25">
      <c r="A13" s="33" t="s">
        <v>356</v>
      </c>
      <c r="B13" s="20" t="s">
        <v>357</v>
      </c>
      <c r="C13" s="21" t="s">
        <v>352</v>
      </c>
      <c r="D13" s="21" t="s">
        <v>343</v>
      </c>
      <c r="E13" s="21" t="s">
        <v>3</v>
      </c>
    </row>
    <row r="14" spans="1:7" s="47" customFormat="1" ht="90.75" customHeight="1" x14ac:dyDescent="0.25">
      <c r="A14" s="60"/>
      <c r="B14" s="60"/>
      <c r="C14" s="60"/>
      <c r="D14" s="60"/>
      <c r="E14" s="60"/>
    </row>
    <row r="15" spans="1:7" ht="14.25" customHeight="1" x14ac:dyDescent="0.3">
      <c r="A15" s="12" t="s">
        <v>358</v>
      </c>
      <c r="B15" s="12"/>
      <c r="C15" s="12"/>
      <c r="D15" s="12"/>
      <c r="E15" s="12"/>
    </row>
    <row r="16" spans="1:7" ht="28.5" customHeight="1" x14ac:dyDescent="0.3">
      <c r="A16" s="64"/>
      <c r="B16" s="64"/>
      <c r="C16" s="64"/>
      <c r="D16" s="64"/>
    </row>
  </sheetData>
  <mergeCells count="3">
    <mergeCell ref="A1:E1"/>
    <mergeCell ref="A2:E2"/>
    <mergeCell ref="A15:E15"/>
  </mergeCells>
  <dataValidations count="2">
    <dataValidation type="list" allowBlank="1" showInputMessage="1" showErrorMessage="1" sqref="G2:G6" xr:uid="{00000000-0002-0000-0600-000000000000}">
      <formula1>RelevanzListe</formula1>
      <formula2>0</formula2>
    </dataValidation>
    <dataValidation type="list" allowBlank="1" showInputMessage="1" showErrorMessage="1" sqref="E5:E13" xr:uid="{00000000-0002-0000-0600-000001000000}">
      <formula1>$G$2:$G$7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6CAEC"/>
  </sheetPr>
  <dimension ref="A1:G15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B5" sqref="B5"/>
    </sheetView>
  </sheetViews>
  <sheetFormatPr baseColWidth="10" defaultColWidth="11.5546875" defaultRowHeight="15" x14ac:dyDescent="0.3"/>
  <cols>
    <col min="1" max="1" width="11.5546875" style="18"/>
    <col min="2" max="2" width="26.88671875" style="58" customWidth="1"/>
    <col min="3" max="3" width="47.109375" style="59" customWidth="1"/>
    <col min="4" max="4" width="38.33203125" style="18" customWidth="1"/>
    <col min="5" max="5" width="27.6640625" style="46" customWidth="1"/>
    <col min="6" max="6" width="11.5546875" style="47"/>
    <col min="7" max="7" width="28" customWidth="1"/>
    <col min="8" max="16384" width="11.5546875" style="60"/>
  </cols>
  <sheetData>
    <row r="1" spans="1:7" ht="39.75" customHeight="1" x14ac:dyDescent="0.25">
      <c r="A1" s="14" t="s">
        <v>303</v>
      </c>
      <c r="B1" s="14"/>
      <c r="C1" s="14"/>
      <c r="D1" s="14"/>
      <c r="E1" s="14"/>
      <c r="G1" s="48" t="s">
        <v>0</v>
      </c>
    </row>
    <row r="2" spans="1:7" x14ac:dyDescent="0.25">
      <c r="A2" s="13" t="s">
        <v>359</v>
      </c>
      <c r="B2" s="13"/>
      <c r="C2" s="13"/>
      <c r="D2" s="13"/>
      <c r="E2" s="13"/>
      <c r="G2" s="49" t="s">
        <v>1</v>
      </c>
    </row>
    <row r="3" spans="1:7" s="61" customFormat="1" ht="30" customHeight="1" x14ac:dyDescent="0.25">
      <c r="A3" s="18"/>
      <c r="B3" s="58"/>
      <c r="C3" s="59"/>
      <c r="D3" s="18"/>
      <c r="E3" s="46"/>
      <c r="F3" s="50"/>
      <c r="G3" s="49" t="s">
        <v>2</v>
      </c>
    </row>
    <row r="4" spans="1:7" ht="15" customHeight="1" x14ac:dyDescent="0.25">
      <c r="A4" s="51" t="s">
        <v>296</v>
      </c>
      <c r="B4" s="52" t="s">
        <v>327</v>
      </c>
      <c r="C4" s="53" t="s">
        <v>328</v>
      </c>
      <c r="D4" s="51" t="s">
        <v>329</v>
      </c>
      <c r="E4" s="51" t="s">
        <v>0</v>
      </c>
      <c r="G4" s="49" t="s">
        <v>3</v>
      </c>
    </row>
    <row r="5" spans="1:7" s="61" customFormat="1" ht="30" customHeight="1" x14ac:dyDescent="0.3">
      <c r="A5" s="33" t="s">
        <v>360</v>
      </c>
      <c r="B5" s="20" t="s">
        <v>39</v>
      </c>
      <c r="C5" s="21" t="s">
        <v>361</v>
      </c>
      <c r="D5" s="21" t="s">
        <v>362</v>
      </c>
      <c r="E5" s="21" t="s">
        <v>4</v>
      </c>
      <c r="F5" s="54"/>
      <c r="G5" s="55" t="s">
        <v>4</v>
      </c>
    </row>
    <row r="6" spans="1:7" s="47" customFormat="1" ht="102" customHeight="1" x14ac:dyDescent="0.25">
      <c r="A6" s="62" t="s">
        <v>363</v>
      </c>
      <c r="B6" s="35" t="s">
        <v>364</v>
      </c>
      <c r="C6" s="36" t="s">
        <v>365</v>
      </c>
      <c r="D6" s="36" t="s">
        <v>366</v>
      </c>
      <c r="E6" s="21" t="s">
        <v>5</v>
      </c>
      <c r="G6" s="49" t="s">
        <v>5</v>
      </c>
    </row>
    <row r="7" spans="1:7" s="47" customFormat="1" ht="102" customHeight="1" x14ac:dyDescent="0.3">
      <c r="A7" s="20" t="s">
        <v>367</v>
      </c>
      <c r="B7" s="20" t="s">
        <v>368</v>
      </c>
      <c r="C7" s="21" t="s">
        <v>369</v>
      </c>
      <c r="D7" s="21" t="s">
        <v>370</v>
      </c>
      <c r="E7" s="21" t="s">
        <v>2</v>
      </c>
      <c r="G7" s="56"/>
    </row>
    <row r="8" spans="1:7" s="47" customFormat="1" ht="102" customHeight="1" x14ac:dyDescent="0.25">
      <c r="A8" s="35" t="s">
        <v>371</v>
      </c>
      <c r="B8" s="35" t="s">
        <v>34</v>
      </c>
      <c r="C8" s="36" t="s">
        <v>372</v>
      </c>
      <c r="D8" s="36" t="s">
        <v>373</v>
      </c>
      <c r="E8" s="57" t="s">
        <v>2</v>
      </c>
    </row>
    <row r="9" spans="1:7" s="47" customFormat="1" ht="102" customHeight="1" x14ac:dyDescent="0.25">
      <c r="A9" s="20" t="s">
        <v>374</v>
      </c>
      <c r="B9" s="20" t="s">
        <v>375</v>
      </c>
      <c r="C9" s="21" t="s">
        <v>376</v>
      </c>
      <c r="D9" s="21" t="s">
        <v>377</v>
      </c>
      <c r="E9" s="21" t="s">
        <v>5</v>
      </c>
    </row>
    <row r="10" spans="1:7" s="47" customFormat="1" ht="102" customHeight="1" x14ac:dyDescent="0.25">
      <c r="A10" s="35" t="s">
        <v>378</v>
      </c>
      <c r="B10" s="35" t="s">
        <v>17</v>
      </c>
      <c r="C10" s="36" t="s">
        <v>379</v>
      </c>
      <c r="D10" s="36" t="s">
        <v>380</v>
      </c>
      <c r="E10" s="21" t="s">
        <v>2</v>
      </c>
    </row>
    <row r="11" spans="1:7" s="47" customFormat="1" ht="123" customHeight="1" x14ac:dyDescent="0.25">
      <c r="A11" s="20" t="s">
        <v>381</v>
      </c>
      <c r="B11" s="20" t="s">
        <v>382</v>
      </c>
      <c r="C11" s="21" t="s">
        <v>383</v>
      </c>
      <c r="D11" s="21" t="s">
        <v>384</v>
      </c>
      <c r="E11" s="21" t="s">
        <v>5</v>
      </c>
    </row>
    <row r="12" spans="1:7" s="47" customFormat="1" ht="102" customHeight="1" x14ac:dyDescent="0.25">
      <c r="A12" s="60"/>
      <c r="B12" s="60"/>
      <c r="C12" s="60"/>
      <c r="D12" s="60"/>
      <c r="E12" s="17"/>
    </row>
    <row r="13" spans="1:7" ht="14.25" customHeight="1" x14ac:dyDescent="0.3">
      <c r="A13" s="12" t="s">
        <v>358</v>
      </c>
      <c r="B13" s="12"/>
      <c r="C13" s="12"/>
      <c r="D13" s="12"/>
      <c r="E13" s="12"/>
    </row>
    <row r="14" spans="1:7" ht="28.5" customHeight="1" x14ac:dyDescent="0.3">
      <c r="A14" s="64"/>
      <c r="B14" s="64"/>
      <c r="C14" s="64"/>
      <c r="D14" s="64"/>
      <c r="E14" s="64"/>
    </row>
    <row r="15" spans="1:7" ht="14.25" customHeight="1" x14ac:dyDescent="0.3">
      <c r="E15" s="18"/>
    </row>
  </sheetData>
  <mergeCells count="3">
    <mergeCell ref="A1:E1"/>
    <mergeCell ref="A2:E2"/>
    <mergeCell ref="A13:E13"/>
  </mergeCells>
  <dataValidations count="2">
    <dataValidation type="list" allowBlank="1" showInputMessage="1" showErrorMessage="1" sqref="G2:G6" xr:uid="{00000000-0002-0000-0700-000000000000}">
      <formula1>RelevanzListe</formula1>
      <formula2>0</formula2>
    </dataValidation>
    <dataValidation type="list" allowBlank="1" showInputMessage="1" showErrorMessage="1" sqref="E5:E12" xr:uid="{00000000-0002-0000-0700-000001000000}">
      <formula1>$G$2:$G$7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6CAEC"/>
  </sheetPr>
  <dimension ref="A1:G20"/>
  <sheetViews>
    <sheetView zoomScaleNormal="100" workbookViewId="0">
      <pane xSplit="4" ySplit="4" topLeftCell="E10" activePane="bottomRight" state="frozen"/>
      <selection pane="topRight" activeCell="E1" sqref="E1"/>
      <selection pane="bottomLeft" activeCell="A10" sqref="A10"/>
      <selection pane="bottomRight" activeCell="C17" sqref="C17"/>
    </sheetView>
  </sheetViews>
  <sheetFormatPr baseColWidth="10" defaultColWidth="11.5546875" defaultRowHeight="15" x14ac:dyDescent="0.3"/>
  <cols>
    <col min="1" max="1" width="11.5546875" style="18"/>
    <col min="2" max="2" width="26.88671875" style="58" customWidth="1"/>
    <col min="3" max="3" width="47.109375" style="59" customWidth="1"/>
    <col min="4" max="4" width="38.33203125" style="18" customWidth="1"/>
    <col min="5" max="5" width="27.6640625" style="46" customWidth="1"/>
    <col min="6" max="6" width="11.5546875" style="47"/>
    <col min="7" max="7" width="28" customWidth="1"/>
    <col min="8" max="16384" width="11.5546875" style="60"/>
  </cols>
  <sheetData>
    <row r="1" spans="1:7" ht="39.75" customHeight="1" x14ac:dyDescent="0.25">
      <c r="A1" s="14" t="s">
        <v>306</v>
      </c>
      <c r="B1" s="14"/>
      <c r="C1" s="14"/>
      <c r="D1" s="14"/>
      <c r="E1" s="14"/>
      <c r="G1" s="48" t="s">
        <v>0</v>
      </c>
    </row>
    <row r="2" spans="1:7" x14ac:dyDescent="0.25">
      <c r="A2" s="13" t="s">
        <v>385</v>
      </c>
      <c r="B2" s="13"/>
      <c r="C2" s="13"/>
      <c r="D2" s="13"/>
      <c r="E2" s="13"/>
      <c r="G2" s="49" t="s">
        <v>1</v>
      </c>
    </row>
    <row r="3" spans="1:7" s="61" customFormat="1" ht="30" customHeight="1" x14ac:dyDescent="0.25">
      <c r="A3" s="18"/>
      <c r="B3" s="58"/>
      <c r="C3" s="59"/>
      <c r="D3" s="18"/>
      <c r="E3" s="46"/>
      <c r="F3" s="50"/>
      <c r="G3" s="49" t="s">
        <v>2</v>
      </c>
    </row>
    <row r="4" spans="1:7" ht="15" customHeight="1" x14ac:dyDescent="0.25">
      <c r="A4" s="51" t="s">
        <v>296</v>
      </c>
      <c r="B4" s="52" t="s">
        <v>327</v>
      </c>
      <c r="C4" s="53" t="s">
        <v>328</v>
      </c>
      <c r="D4" s="51" t="s">
        <v>329</v>
      </c>
      <c r="E4" s="51" t="s">
        <v>0</v>
      </c>
      <c r="G4" s="49" t="s">
        <v>3</v>
      </c>
    </row>
    <row r="5" spans="1:7" s="61" customFormat="1" ht="75" customHeight="1" x14ac:dyDescent="0.3">
      <c r="A5" s="33" t="s">
        <v>386</v>
      </c>
      <c r="B5" s="20" t="s">
        <v>387</v>
      </c>
      <c r="C5" s="21" t="s">
        <v>388</v>
      </c>
      <c r="D5" s="21" t="s">
        <v>389</v>
      </c>
      <c r="E5" s="21" t="s">
        <v>1</v>
      </c>
      <c r="F5" s="54"/>
      <c r="G5" s="55" t="s">
        <v>4</v>
      </c>
    </row>
    <row r="6" spans="1:7" s="47" customFormat="1" ht="111" customHeight="1" x14ac:dyDescent="0.25">
      <c r="A6" s="62" t="s">
        <v>390</v>
      </c>
      <c r="B6" s="35" t="s">
        <v>391</v>
      </c>
      <c r="C6" s="36" t="s">
        <v>392</v>
      </c>
      <c r="D6" s="36" t="s">
        <v>393</v>
      </c>
      <c r="E6" s="21" t="s">
        <v>1</v>
      </c>
      <c r="G6" s="49" t="s">
        <v>5</v>
      </c>
    </row>
    <row r="7" spans="1:7" s="47" customFormat="1" ht="111" customHeight="1" x14ac:dyDescent="0.3">
      <c r="A7" s="20" t="s">
        <v>394</v>
      </c>
      <c r="B7" s="20" t="s">
        <v>395</v>
      </c>
      <c r="C7" s="21" t="s">
        <v>396</v>
      </c>
      <c r="D7" s="21" t="s">
        <v>393</v>
      </c>
      <c r="E7" s="21" t="s">
        <v>1</v>
      </c>
      <c r="G7" s="56"/>
    </row>
    <row r="8" spans="1:7" s="47" customFormat="1" ht="111" customHeight="1" x14ac:dyDescent="0.25">
      <c r="A8" s="35" t="s">
        <v>397</v>
      </c>
      <c r="B8" s="35" t="s">
        <v>398</v>
      </c>
      <c r="C8" s="36" t="s">
        <v>399</v>
      </c>
      <c r="D8" s="36" t="s">
        <v>400</v>
      </c>
      <c r="E8" s="57" t="s">
        <v>1</v>
      </c>
    </row>
    <row r="9" spans="1:7" s="47" customFormat="1" ht="111" customHeight="1" x14ac:dyDescent="0.25">
      <c r="A9" s="20" t="s">
        <v>401</v>
      </c>
      <c r="B9" s="20" t="s">
        <v>402</v>
      </c>
      <c r="C9" s="21" t="s">
        <v>403</v>
      </c>
      <c r="D9" s="21" t="s">
        <v>404</v>
      </c>
      <c r="E9" s="21" t="s">
        <v>1</v>
      </c>
    </row>
    <row r="10" spans="1:7" s="47" customFormat="1" ht="111" customHeight="1" x14ac:dyDescent="0.25">
      <c r="A10" s="35" t="s">
        <v>405</v>
      </c>
      <c r="B10" s="35" t="s">
        <v>406</v>
      </c>
      <c r="C10" s="36" t="s">
        <v>407</v>
      </c>
      <c r="D10" s="36" t="s">
        <v>408</v>
      </c>
      <c r="E10" s="21" t="s">
        <v>5</v>
      </c>
    </row>
    <row r="11" spans="1:7" s="47" customFormat="1" ht="111" customHeight="1" x14ac:dyDescent="0.25">
      <c r="A11" s="20" t="s">
        <v>409</v>
      </c>
      <c r="B11" s="20" t="s">
        <v>107</v>
      </c>
      <c r="C11" s="21" t="s">
        <v>410</v>
      </c>
      <c r="D11" s="21" t="s">
        <v>411</v>
      </c>
      <c r="E11" s="21" t="s">
        <v>5</v>
      </c>
    </row>
    <row r="12" spans="1:7" s="47" customFormat="1" ht="111" customHeight="1" x14ac:dyDescent="0.25">
      <c r="A12" s="33" t="s">
        <v>412</v>
      </c>
      <c r="B12" s="20" t="s">
        <v>413</v>
      </c>
      <c r="C12" s="21" t="s">
        <v>414</v>
      </c>
      <c r="D12" s="21" t="s">
        <v>415</v>
      </c>
      <c r="E12" s="21" t="s">
        <v>5</v>
      </c>
    </row>
    <row r="13" spans="1:7" ht="111" customHeight="1" x14ac:dyDescent="0.3">
      <c r="A13" s="62" t="s">
        <v>416</v>
      </c>
      <c r="B13" s="35" t="s">
        <v>112</v>
      </c>
      <c r="C13" s="36" t="s">
        <v>417</v>
      </c>
      <c r="D13" s="36" t="s">
        <v>418</v>
      </c>
      <c r="E13" s="21" t="s">
        <v>4</v>
      </c>
    </row>
    <row r="14" spans="1:7" ht="111" customHeight="1" x14ac:dyDescent="0.3">
      <c r="A14" s="20" t="s">
        <v>419</v>
      </c>
      <c r="B14" s="20" t="s">
        <v>420</v>
      </c>
      <c r="C14" s="21" t="s">
        <v>421</v>
      </c>
      <c r="D14" s="21" t="s">
        <v>422</v>
      </c>
      <c r="E14" s="21" t="s">
        <v>5</v>
      </c>
    </row>
    <row r="15" spans="1:7" ht="111" customHeight="1" x14ac:dyDescent="0.3">
      <c r="A15" s="35" t="s">
        <v>423</v>
      </c>
      <c r="B15" s="35" t="s">
        <v>424</v>
      </c>
      <c r="C15" s="36" t="s">
        <v>425</v>
      </c>
      <c r="D15" s="36" t="s">
        <v>426</v>
      </c>
      <c r="E15" s="21" t="s">
        <v>5</v>
      </c>
    </row>
    <row r="16" spans="1:7" ht="111" customHeight="1" x14ac:dyDescent="0.3">
      <c r="A16" s="20" t="s">
        <v>427</v>
      </c>
      <c r="B16" s="20" t="s">
        <v>428</v>
      </c>
      <c r="C16" s="21" t="s">
        <v>429</v>
      </c>
      <c r="D16" s="21" t="s">
        <v>430</v>
      </c>
      <c r="E16" s="21" t="s">
        <v>5</v>
      </c>
    </row>
    <row r="17" spans="1:5" ht="111" customHeight="1" x14ac:dyDescent="0.3">
      <c r="A17" s="65" t="s">
        <v>431</v>
      </c>
      <c r="B17" s="35" t="s">
        <v>432</v>
      </c>
      <c r="C17" s="36" t="s">
        <v>433</v>
      </c>
      <c r="D17" s="36" t="s">
        <v>434</v>
      </c>
      <c r="E17" s="21" t="s">
        <v>4</v>
      </c>
    </row>
    <row r="18" spans="1:5" ht="111" customHeight="1" x14ac:dyDescent="0.3">
      <c r="A18" s="60"/>
      <c r="B18" s="60"/>
      <c r="C18" s="60"/>
      <c r="D18" s="60"/>
    </row>
    <row r="19" spans="1:5" ht="14.25" customHeight="1" x14ac:dyDescent="0.3">
      <c r="A19" s="12" t="s">
        <v>435</v>
      </c>
      <c r="B19" s="12"/>
      <c r="C19" s="12"/>
      <c r="D19" s="12"/>
      <c r="E19" s="12"/>
    </row>
    <row r="20" spans="1:5" ht="27.75" customHeight="1" x14ac:dyDescent="0.3">
      <c r="A20" s="64"/>
      <c r="B20" s="64"/>
      <c r="C20" s="64"/>
      <c r="D20" s="64"/>
    </row>
  </sheetData>
  <mergeCells count="3">
    <mergeCell ref="A1:E1"/>
    <mergeCell ref="A2:E2"/>
    <mergeCell ref="A19:E19"/>
  </mergeCells>
  <dataValidations count="2">
    <dataValidation type="list" allowBlank="1" showInputMessage="1" showErrorMessage="1" sqref="G2:G6" xr:uid="{00000000-0002-0000-0800-000000000000}">
      <formula1>RelevanzListe</formula1>
      <formula2>0</formula2>
    </dataValidation>
    <dataValidation type="list" allowBlank="1" showInputMessage="1" showErrorMessage="1" sqref="E5:E17" xr:uid="{00000000-0002-0000-0800-000001000000}">
      <formula1>$G$2:$G$7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6CAEC"/>
  </sheetPr>
  <dimension ref="A1:G22"/>
  <sheetViews>
    <sheetView zoomScaleNormal="100" workbookViewId="0">
      <pane xSplit="4" ySplit="4" topLeftCell="E10" activePane="bottomRight" state="frozen"/>
      <selection pane="topRight" activeCell="E1" sqref="E1"/>
      <selection pane="bottomLeft" activeCell="A10" sqref="A10"/>
      <selection pane="bottomRight" activeCell="B8" sqref="B8"/>
    </sheetView>
  </sheetViews>
  <sheetFormatPr baseColWidth="10" defaultColWidth="11.5546875" defaultRowHeight="15" x14ac:dyDescent="0.3"/>
  <cols>
    <col min="1" max="1" width="11.5546875" style="18"/>
    <col min="2" max="2" width="26.88671875" style="58" customWidth="1"/>
    <col min="3" max="3" width="47.109375" style="59" customWidth="1"/>
    <col min="4" max="4" width="38.33203125" style="18" customWidth="1"/>
    <col min="5" max="5" width="27.6640625" style="46" customWidth="1"/>
    <col min="6" max="6" width="11.5546875" style="47"/>
    <col min="7" max="7" width="28" customWidth="1"/>
    <col min="8" max="16384" width="11.5546875" style="60"/>
  </cols>
  <sheetData>
    <row r="1" spans="1:7" ht="39.75" customHeight="1" x14ac:dyDescent="0.25">
      <c r="A1" s="14" t="s">
        <v>309</v>
      </c>
      <c r="B1" s="14"/>
      <c r="C1" s="14"/>
      <c r="D1" s="14"/>
      <c r="E1" s="14"/>
      <c r="G1" s="48" t="s">
        <v>0</v>
      </c>
    </row>
    <row r="2" spans="1:7" x14ac:dyDescent="0.25">
      <c r="A2" s="13" t="s">
        <v>436</v>
      </c>
      <c r="B2" s="13"/>
      <c r="C2" s="13"/>
      <c r="D2" s="13"/>
      <c r="E2" s="13"/>
      <c r="G2" s="49" t="s">
        <v>1</v>
      </c>
    </row>
    <row r="3" spans="1:7" s="61" customFormat="1" ht="30" customHeight="1" x14ac:dyDescent="0.25">
      <c r="A3" s="18"/>
      <c r="B3" s="58"/>
      <c r="C3" s="59"/>
      <c r="D3" s="18"/>
      <c r="E3" s="46"/>
      <c r="F3" s="50"/>
      <c r="G3" s="49" t="s">
        <v>2</v>
      </c>
    </row>
    <row r="4" spans="1:7" ht="15" customHeight="1" x14ac:dyDescent="0.25">
      <c r="A4" s="51" t="s">
        <v>296</v>
      </c>
      <c r="B4" s="52" t="s">
        <v>327</v>
      </c>
      <c r="C4" s="53" t="s">
        <v>328</v>
      </c>
      <c r="D4" s="51" t="s">
        <v>329</v>
      </c>
      <c r="E4" s="51" t="s">
        <v>0</v>
      </c>
      <c r="G4" s="49" t="s">
        <v>3</v>
      </c>
    </row>
    <row r="5" spans="1:7" s="61" customFormat="1" ht="54.75" customHeight="1" x14ac:dyDescent="0.3">
      <c r="A5" s="33" t="s">
        <v>437</v>
      </c>
      <c r="B5" s="20" t="s">
        <v>438</v>
      </c>
      <c r="C5" s="21" t="s">
        <v>439</v>
      </c>
      <c r="D5" s="21" t="s">
        <v>440</v>
      </c>
      <c r="E5" s="21" t="s">
        <v>4</v>
      </c>
      <c r="F5" s="54"/>
      <c r="G5" s="55" t="s">
        <v>4</v>
      </c>
    </row>
    <row r="6" spans="1:7" s="47" customFormat="1" ht="111" customHeight="1" x14ac:dyDescent="0.25">
      <c r="A6" s="35" t="s">
        <v>441</v>
      </c>
      <c r="B6" s="35" t="s">
        <v>442</v>
      </c>
      <c r="C6" s="36" t="s">
        <v>443</v>
      </c>
      <c r="D6" s="36" t="s">
        <v>444</v>
      </c>
      <c r="E6" s="21" t="s">
        <v>5</v>
      </c>
      <c r="G6" s="49" t="s">
        <v>5</v>
      </c>
    </row>
    <row r="7" spans="1:7" s="47" customFormat="1" ht="111" customHeight="1" x14ac:dyDescent="0.3">
      <c r="A7" s="33" t="s">
        <v>445</v>
      </c>
      <c r="B7" s="20" t="s">
        <v>446</v>
      </c>
      <c r="C7" s="21" t="s">
        <v>447</v>
      </c>
      <c r="D7" s="21" t="s">
        <v>448</v>
      </c>
      <c r="E7" s="21" t="s">
        <v>4</v>
      </c>
      <c r="G7" s="56"/>
    </row>
    <row r="8" spans="1:7" s="47" customFormat="1" ht="111" customHeight="1" x14ac:dyDescent="0.25">
      <c r="A8" s="35" t="s">
        <v>449</v>
      </c>
      <c r="B8" s="35" t="s">
        <v>43</v>
      </c>
      <c r="C8" s="36" t="s">
        <v>450</v>
      </c>
      <c r="D8" s="36" t="s">
        <v>451</v>
      </c>
      <c r="E8" s="57" t="s">
        <v>4</v>
      </c>
    </row>
    <row r="9" spans="1:7" s="47" customFormat="1" ht="111" customHeight="1" x14ac:dyDescent="0.25">
      <c r="A9" s="33" t="s">
        <v>452</v>
      </c>
      <c r="B9" s="20" t="s">
        <v>453</v>
      </c>
      <c r="C9" s="21" t="s">
        <v>454</v>
      </c>
      <c r="D9" s="21" t="s">
        <v>455</v>
      </c>
      <c r="E9" s="21" t="s">
        <v>1</v>
      </c>
    </row>
    <row r="10" spans="1:7" s="47" customFormat="1" ht="111" customHeight="1" x14ac:dyDescent="0.25">
      <c r="A10" s="35" t="s">
        <v>456</v>
      </c>
      <c r="B10" s="35" t="s">
        <v>457</v>
      </c>
      <c r="C10" s="36" t="s">
        <v>458</v>
      </c>
      <c r="D10" s="36" t="s">
        <v>459</v>
      </c>
      <c r="E10" s="21" t="s">
        <v>2</v>
      </c>
    </row>
    <row r="11" spans="1:7" s="47" customFormat="1" ht="111" customHeight="1" x14ac:dyDescent="0.25">
      <c r="A11" s="33" t="s">
        <v>460</v>
      </c>
      <c r="B11" s="20" t="s">
        <v>461</v>
      </c>
      <c r="C11" s="21" t="s">
        <v>462</v>
      </c>
      <c r="D11" s="21" t="s">
        <v>463</v>
      </c>
      <c r="E11" s="21" t="s">
        <v>2</v>
      </c>
    </row>
    <row r="12" spans="1:7" s="47" customFormat="1" ht="111" customHeight="1" x14ac:dyDescent="0.25">
      <c r="A12" s="35" t="s">
        <v>464</v>
      </c>
      <c r="B12" s="35" t="s">
        <v>123</v>
      </c>
      <c r="C12" s="36" t="s">
        <v>465</v>
      </c>
      <c r="D12" s="36" t="s">
        <v>466</v>
      </c>
      <c r="E12" s="21" t="s">
        <v>4</v>
      </c>
    </row>
    <row r="13" spans="1:7" ht="111" customHeight="1" x14ac:dyDescent="0.3">
      <c r="A13" s="33" t="s">
        <v>467</v>
      </c>
      <c r="B13" s="20" t="s">
        <v>468</v>
      </c>
      <c r="C13" s="21" t="s">
        <v>469</v>
      </c>
      <c r="D13" s="21" t="s">
        <v>470</v>
      </c>
      <c r="E13" s="21" t="s">
        <v>5</v>
      </c>
    </row>
    <row r="14" spans="1:7" ht="111" customHeight="1" x14ac:dyDescent="0.3">
      <c r="A14" s="35" t="s">
        <v>471</v>
      </c>
      <c r="B14" s="35" t="s">
        <v>472</v>
      </c>
      <c r="C14" s="36" t="s">
        <v>473</v>
      </c>
      <c r="D14" s="36" t="s">
        <v>474</v>
      </c>
      <c r="E14" s="21" t="s">
        <v>5</v>
      </c>
    </row>
    <row r="15" spans="1:7" ht="111" customHeight="1" x14ac:dyDescent="0.3">
      <c r="A15" s="33" t="s">
        <v>475</v>
      </c>
      <c r="B15" s="20" t="s">
        <v>476</v>
      </c>
      <c r="C15" s="21" t="s">
        <v>477</v>
      </c>
      <c r="D15" s="21" t="s">
        <v>478</v>
      </c>
      <c r="E15" s="21" t="s">
        <v>5</v>
      </c>
    </row>
    <row r="16" spans="1:7" ht="111" customHeight="1" x14ac:dyDescent="0.3">
      <c r="A16" s="35" t="s">
        <v>479</v>
      </c>
      <c r="B16" s="35" t="s">
        <v>480</v>
      </c>
      <c r="C16" s="36" t="s">
        <v>481</v>
      </c>
      <c r="D16" s="36" t="s">
        <v>482</v>
      </c>
      <c r="E16" s="21" t="s">
        <v>4</v>
      </c>
    </row>
    <row r="17" spans="1:5" ht="111" customHeight="1" x14ac:dyDescent="0.3">
      <c r="A17" s="33" t="s">
        <v>483</v>
      </c>
      <c r="B17" s="20" t="s">
        <v>484</v>
      </c>
      <c r="C17" s="21" t="s">
        <v>485</v>
      </c>
      <c r="D17" s="21" t="s">
        <v>486</v>
      </c>
      <c r="E17" s="21" t="s">
        <v>5</v>
      </c>
    </row>
    <row r="18" spans="1:5" ht="111" customHeight="1" x14ac:dyDescent="0.3">
      <c r="A18" s="35" t="s">
        <v>487</v>
      </c>
      <c r="B18" s="35" t="s">
        <v>127</v>
      </c>
      <c r="C18" s="36" t="s">
        <v>488</v>
      </c>
      <c r="D18" s="36" t="s">
        <v>489</v>
      </c>
      <c r="E18" s="21" t="s">
        <v>4</v>
      </c>
    </row>
    <row r="19" spans="1:5" ht="27" customHeight="1" x14ac:dyDescent="0.3">
      <c r="A19" s="33" t="s">
        <v>490</v>
      </c>
      <c r="B19" s="20" t="s">
        <v>125</v>
      </c>
      <c r="C19" s="21" t="s">
        <v>491</v>
      </c>
      <c r="D19" s="21" t="s">
        <v>492</v>
      </c>
      <c r="E19" s="21" t="s">
        <v>1</v>
      </c>
    </row>
    <row r="20" spans="1:5" ht="27.75" customHeight="1" x14ac:dyDescent="0.3">
      <c r="B20" s="64"/>
      <c r="C20" s="64"/>
      <c r="D20" s="64"/>
      <c r="E20" s="63"/>
    </row>
    <row r="21" spans="1:5" ht="90.75" customHeight="1" x14ac:dyDescent="0.3">
      <c r="A21" s="63" t="s">
        <v>493</v>
      </c>
      <c r="B21" s="63"/>
      <c r="C21" s="63"/>
      <c r="D21" s="63"/>
    </row>
    <row r="22" spans="1:5" ht="14.25" customHeight="1" x14ac:dyDescent="0.3"/>
  </sheetData>
  <mergeCells count="2">
    <mergeCell ref="A1:E1"/>
    <mergeCell ref="A2:E2"/>
  </mergeCells>
  <dataValidations count="2">
    <dataValidation type="list" allowBlank="1" showInputMessage="1" showErrorMessage="1" sqref="E5:E19" xr:uid="{00000000-0002-0000-0900-000000000000}">
      <formula1>$G$2:$G$7</formula1>
      <formula2>0</formula2>
    </dataValidation>
    <dataValidation type="list" allowBlank="1" showInputMessage="1" showErrorMessage="1" sqref="G2:G6" xr:uid="{00000000-0002-0000-0900-000001000000}">
      <formula1>RelevanzListe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6CAEC"/>
  </sheetPr>
  <dimension ref="A1:G18"/>
  <sheetViews>
    <sheetView zoomScaleNormal="100" workbookViewId="0">
      <pane ySplit="4" topLeftCell="A11" activePane="bottomLeft" state="frozen"/>
      <selection pane="bottomLeft" activeCell="E15" sqref="E15"/>
    </sheetView>
  </sheetViews>
  <sheetFormatPr baseColWidth="10" defaultColWidth="11.5546875" defaultRowHeight="15" x14ac:dyDescent="0.3"/>
  <cols>
    <col min="1" max="1" width="11.5546875" style="18"/>
    <col min="2" max="2" width="26.88671875" style="58" customWidth="1"/>
    <col min="3" max="3" width="47.109375" style="59" customWidth="1"/>
    <col min="4" max="4" width="38.33203125" style="18" customWidth="1"/>
    <col min="5" max="5" width="27.6640625" style="46" customWidth="1"/>
    <col min="6" max="6" width="11.5546875" style="47"/>
    <col min="7" max="7" width="28" customWidth="1"/>
    <col min="8" max="16384" width="11.5546875" style="60"/>
  </cols>
  <sheetData>
    <row r="1" spans="1:7" ht="39.75" customHeight="1" x14ac:dyDescent="0.25">
      <c r="A1" s="14" t="s">
        <v>312</v>
      </c>
      <c r="B1" s="14"/>
      <c r="C1" s="14"/>
      <c r="D1" s="14"/>
      <c r="E1" s="14"/>
      <c r="G1" s="16" t="s">
        <v>0</v>
      </c>
    </row>
    <row r="2" spans="1:7" x14ac:dyDescent="0.25">
      <c r="A2" s="13" t="s">
        <v>494</v>
      </c>
      <c r="B2" s="13"/>
      <c r="C2" s="13"/>
      <c r="D2" s="13"/>
      <c r="E2" s="13"/>
      <c r="G2" s="17" t="s">
        <v>1</v>
      </c>
    </row>
    <row r="3" spans="1:7" s="61" customFormat="1" ht="30" customHeight="1" x14ac:dyDescent="0.25">
      <c r="A3" s="18"/>
      <c r="B3" s="58"/>
      <c r="C3" s="59"/>
      <c r="D3" s="18"/>
      <c r="F3" s="50"/>
      <c r="G3" s="17" t="s">
        <v>2</v>
      </c>
    </row>
    <row r="4" spans="1:7" ht="15" customHeight="1" x14ac:dyDescent="0.25">
      <c r="A4" s="51" t="s">
        <v>296</v>
      </c>
      <c r="B4" s="52" t="s">
        <v>327</v>
      </c>
      <c r="C4" s="53" t="s">
        <v>328</v>
      </c>
      <c r="D4" s="51" t="s">
        <v>329</v>
      </c>
      <c r="E4" s="51" t="s">
        <v>0</v>
      </c>
      <c r="G4" s="17" t="s">
        <v>3</v>
      </c>
    </row>
    <row r="5" spans="1:7" s="61" customFormat="1" ht="63" customHeight="1" x14ac:dyDescent="0.3">
      <c r="A5" s="33" t="s">
        <v>495</v>
      </c>
      <c r="B5" s="20" t="s">
        <v>134</v>
      </c>
      <c r="C5" s="21" t="s">
        <v>496</v>
      </c>
      <c r="D5" s="21" t="s">
        <v>497</v>
      </c>
      <c r="E5" s="21" t="s">
        <v>1</v>
      </c>
      <c r="F5" s="54"/>
      <c r="G5" s="18" t="s">
        <v>4</v>
      </c>
    </row>
    <row r="6" spans="1:7" s="47" customFormat="1" ht="111" customHeight="1" x14ac:dyDescent="0.25">
      <c r="A6" s="35" t="s">
        <v>498</v>
      </c>
      <c r="B6" s="35" t="s">
        <v>499</v>
      </c>
      <c r="C6" s="36" t="s">
        <v>500</v>
      </c>
      <c r="D6" s="36" t="s">
        <v>501</v>
      </c>
      <c r="E6" s="21" t="s">
        <v>5</v>
      </c>
      <c r="G6" s="17" t="s">
        <v>5</v>
      </c>
    </row>
    <row r="7" spans="1:7" s="47" customFormat="1" ht="111" customHeight="1" x14ac:dyDescent="0.25">
      <c r="A7" s="33" t="s">
        <v>502</v>
      </c>
      <c r="B7" s="20" t="s">
        <v>503</v>
      </c>
      <c r="C7" s="21" t="s">
        <v>504</v>
      </c>
      <c r="D7" s="21" t="s">
        <v>505</v>
      </c>
      <c r="E7" s="57" t="s">
        <v>2</v>
      </c>
    </row>
    <row r="8" spans="1:7" s="47" customFormat="1" ht="111" customHeight="1" x14ac:dyDescent="0.25">
      <c r="A8" s="35" t="s">
        <v>506</v>
      </c>
      <c r="B8" s="35" t="s">
        <v>507</v>
      </c>
      <c r="C8" s="36" t="s">
        <v>508</v>
      </c>
      <c r="D8" s="36" t="s">
        <v>509</v>
      </c>
      <c r="E8" s="21" t="s">
        <v>4</v>
      </c>
    </row>
    <row r="9" spans="1:7" s="47" customFormat="1" ht="111" customHeight="1" x14ac:dyDescent="0.25">
      <c r="A9" s="33" t="s">
        <v>510</v>
      </c>
      <c r="B9" s="20" t="s">
        <v>511</v>
      </c>
      <c r="C9" s="21" t="s">
        <v>512</v>
      </c>
      <c r="D9" s="21" t="s">
        <v>513</v>
      </c>
      <c r="E9" s="21" t="s">
        <v>2</v>
      </c>
    </row>
    <row r="10" spans="1:7" s="47" customFormat="1" ht="111" customHeight="1" x14ac:dyDescent="0.25">
      <c r="A10" s="35" t="s">
        <v>514</v>
      </c>
      <c r="B10" s="35" t="s">
        <v>515</v>
      </c>
      <c r="C10" s="36" t="s">
        <v>516</v>
      </c>
      <c r="D10" s="36" t="s">
        <v>517</v>
      </c>
      <c r="E10" s="21" t="s">
        <v>2</v>
      </c>
    </row>
    <row r="11" spans="1:7" s="47" customFormat="1" ht="111" customHeight="1" x14ac:dyDescent="0.25">
      <c r="A11" s="33" t="s">
        <v>518</v>
      </c>
      <c r="B11" s="20" t="s">
        <v>519</v>
      </c>
      <c r="C11" s="21" t="s">
        <v>520</v>
      </c>
      <c r="D11" s="21" t="s">
        <v>521</v>
      </c>
      <c r="E11" s="21" t="s">
        <v>2</v>
      </c>
    </row>
    <row r="12" spans="1:7" s="47" customFormat="1" ht="111" customHeight="1" x14ac:dyDescent="0.25">
      <c r="A12" s="35" t="s">
        <v>522</v>
      </c>
      <c r="B12" s="35" t="s">
        <v>523</v>
      </c>
      <c r="C12" s="36" t="s">
        <v>524</v>
      </c>
      <c r="D12" s="36" t="s">
        <v>525</v>
      </c>
      <c r="E12" s="21" t="s">
        <v>2</v>
      </c>
    </row>
    <row r="13" spans="1:7" ht="111" customHeight="1" x14ac:dyDescent="0.3">
      <c r="A13" s="33" t="s">
        <v>526</v>
      </c>
      <c r="B13" s="20" t="s">
        <v>146</v>
      </c>
      <c r="C13" s="21" t="s">
        <v>527</v>
      </c>
      <c r="D13" s="21" t="s">
        <v>528</v>
      </c>
      <c r="E13" s="21" t="s">
        <v>1</v>
      </c>
    </row>
    <row r="14" spans="1:7" ht="111" customHeight="1" x14ac:dyDescent="0.3">
      <c r="A14" s="35" t="s">
        <v>529</v>
      </c>
      <c r="B14" s="35" t="s">
        <v>530</v>
      </c>
      <c r="C14" s="36" t="s">
        <v>531</v>
      </c>
      <c r="D14" s="36" t="s">
        <v>532</v>
      </c>
      <c r="E14" s="21" t="s">
        <v>5</v>
      </c>
    </row>
    <row r="15" spans="1:7" ht="111" customHeight="1" x14ac:dyDescent="0.3">
      <c r="A15" s="33" t="s">
        <v>533</v>
      </c>
      <c r="B15" s="20" t="s">
        <v>534</v>
      </c>
      <c r="C15" s="21" t="s">
        <v>535</v>
      </c>
      <c r="D15" s="21" t="s">
        <v>536</v>
      </c>
      <c r="E15" s="21"/>
    </row>
    <row r="16" spans="1:7" ht="177.75" customHeight="1" x14ac:dyDescent="0.3">
      <c r="A16" s="66"/>
      <c r="B16" s="67"/>
      <c r="C16" s="17"/>
      <c r="D16" s="17"/>
      <c r="E16" s="63"/>
    </row>
    <row r="17" spans="1:4" ht="33.75" customHeight="1" x14ac:dyDescent="0.3">
      <c r="A17" s="63" t="s">
        <v>537</v>
      </c>
      <c r="B17" s="63"/>
      <c r="C17" s="63"/>
      <c r="D17" s="63"/>
    </row>
    <row r="18" spans="1:4" ht="13.5" customHeight="1" x14ac:dyDescent="0.3">
      <c r="A18" s="64"/>
      <c r="B18" s="64"/>
      <c r="C18" s="64"/>
      <c r="D18" s="64"/>
    </row>
  </sheetData>
  <mergeCells count="2">
    <mergeCell ref="A1:E1"/>
    <mergeCell ref="A2:E2"/>
  </mergeCells>
  <dataValidations count="2">
    <dataValidation type="list" allowBlank="1" showInputMessage="1" showErrorMessage="1" sqref="G2:G6" xr:uid="{00000000-0002-0000-0A00-000000000000}">
      <formula1>RelevanzListe</formula1>
      <formula2>0</formula2>
    </dataValidation>
    <dataValidation type="list" allowBlank="1" showInputMessage="1" showErrorMessage="1" sqref="E4:E14" xr:uid="{00000000-0002-0000-0A00-000001000000}">
      <formula1>$G$2:$G$7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H22"/>
  <sheetViews>
    <sheetView zoomScaleNormal="100" workbookViewId="0">
      <pane ySplit="4" topLeftCell="A13" activePane="bottomLeft" state="frozen"/>
      <selection pane="bottomLeft" activeCell="C10" sqref="C10"/>
    </sheetView>
  </sheetViews>
  <sheetFormatPr baseColWidth="10" defaultColWidth="11.5546875" defaultRowHeight="15" x14ac:dyDescent="0.3"/>
  <cols>
    <col min="1" max="1" width="11.5546875" style="18"/>
    <col min="2" max="2" width="26.88671875" style="18" customWidth="1"/>
    <col min="3" max="3" width="47.109375" style="18" customWidth="1"/>
    <col min="4" max="4" width="38.33203125" style="18" customWidth="1"/>
    <col min="5" max="5" width="24.21875" style="18" customWidth="1"/>
    <col min="6" max="6" width="27.6640625" style="46" customWidth="1"/>
    <col min="7" max="7" width="11.5546875" style="47"/>
    <col min="8" max="8" width="28" customWidth="1"/>
    <col min="9" max="16384" width="11.5546875" style="18"/>
  </cols>
  <sheetData>
    <row r="1" spans="1:8" s="60" customFormat="1" ht="24" customHeight="1" x14ac:dyDescent="0.25">
      <c r="A1" s="14" t="s">
        <v>315</v>
      </c>
      <c r="B1" s="14"/>
      <c r="C1" s="14"/>
      <c r="D1" s="14"/>
      <c r="E1" s="14"/>
      <c r="F1" s="14"/>
      <c r="G1" s="47"/>
      <c r="H1" s="16" t="s">
        <v>0</v>
      </c>
    </row>
    <row r="2" spans="1:8" s="60" customFormat="1" x14ac:dyDescent="0.25">
      <c r="A2" s="13" t="s">
        <v>538</v>
      </c>
      <c r="B2" s="13"/>
      <c r="C2" s="13"/>
      <c r="D2" s="13"/>
      <c r="E2" s="13"/>
      <c r="F2" s="13"/>
      <c r="G2" s="47"/>
      <c r="H2" s="17" t="s">
        <v>1</v>
      </c>
    </row>
    <row r="3" spans="1:8" s="61" customFormat="1" x14ac:dyDescent="0.25">
      <c r="A3" s="18"/>
      <c r="B3" s="58"/>
      <c r="C3" s="59"/>
      <c r="D3" s="18"/>
      <c r="E3" s="18"/>
      <c r="G3" s="50"/>
      <c r="H3" s="17" t="s">
        <v>2</v>
      </c>
    </row>
    <row r="4" spans="1:8" s="60" customFormat="1" ht="30.75" customHeight="1" x14ac:dyDescent="0.25">
      <c r="A4" s="51" t="s">
        <v>296</v>
      </c>
      <c r="B4" s="52" t="s">
        <v>327</v>
      </c>
      <c r="C4" s="53" t="s">
        <v>328</v>
      </c>
      <c r="D4" s="51" t="s">
        <v>539</v>
      </c>
      <c r="E4" s="51" t="s">
        <v>329</v>
      </c>
      <c r="F4" s="51" t="s">
        <v>0</v>
      </c>
      <c r="G4" s="47"/>
      <c r="H4" s="17" t="s">
        <v>3</v>
      </c>
    </row>
    <row r="5" spans="1:8" s="61" customFormat="1" ht="69" customHeight="1" x14ac:dyDescent="0.3">
      <c r="A5" s="68" t="s">
        <v>540</v>
      </c>
      <c r="B5" s="69" t="s">
        <v>49</v>
      </c>
      <c r="C5" s="70" t="s">
        <v>541</v>
      </c>
      <c r="D5" s="71" t="s">
        <v>542</v>
      </c>
      <c r="E5" s="70" t="s">
        <v>543</v>
      </c>
      <c r="F5" s="21" t="s">
        <v>2</v>
      </c>
      <c r="G5" s="54"/>
      <c r="H5" s="18" t="s">
        <v>4</v>
      </c>
    </row>
    <row r="6" spans="1:8" ht="110.25" customHeight="1" x14ac:dyDescent="0.25">
      <c r="A6" s="72" t="s">
        <v>544</v>
      </c>
      <c r="B6" s="73" t="s">
        <v>545</v>
      </c>
      <c r="C6" s="74" t="s">
        <v>546</v>
      </c>
      <c r="D6" s="75" t="s">
        <v>547</v>
      </c>
      <c r="E6" s="74" t="s">
        <v>548</v>
      </c>
      <c r="F6" s="21" t="s">
        <v>2</v>
      </c>
      <c r="H6" s="17" t="s">
        <v>5</v>
      </c>
    </row>
    <row r="7" spans="1:8" ht="54.75" customHeight="1" x14ac:dyDescent="0.3">
      <c r="A7" s="68" t="s">
        <v>549</v>
      </c>
      <c r="B7" s="69" t="s">
        <v>550</v>
      </c>
      <c r="C7" s="70" t="s">
        <v>551</v>
      </c>
      <c r="D7" s="71" t="s">
        <v>552</v>
      </c>
      <c r="E7" s="70" t="s">
        <v>553</v>
      </c>
      <c r="F7" s="21" t="s">
        <v>2</v>
      </c>
    </row>
    <row r="8" spans="1:8" ht="41.25" customHeight="1" x14ac:dyDescent="0.3">
      <c r="A8" s="72" t="s">
        <v>554</v>
      </c>
      <c r="B8" s="73" t="s">
        <v>555</v>
      </c>
      <c r="C8" s="74" t="s">
        <v>556</v>
      </c>
      <c r="D8" s="75"/>
      <c r="E8" s="74" t="s">
        <v>557</v>
      </c>
      <c r="F8" s="21" t="s">
        <v>5</v>
      </c>
    </row>
    <row r="9" spans="1:8" ht="41.25" customHeight="1" x14ac:dyDescent="0.3">
      <c r="A9" s="68" t="s">
        <v>558</v>
      </c>
      <c r="B9" s="69" t="s">
        <v>559</v>
      </c>
      <c r="C9" s="70" t="s">
        <v>560</v>
      </c>
      <c r="D9" s="71"/>
      <c r="E9" s="70" t="s">
        <v>561</v>
      </c>
      <c r="F9" s="57" t="s">
        <v>5</v>
      </c>
    </row>
    <row r="10" spans="1:8" ht="54.75" customHeight="1" x14ac:dyDescent="0.3">
      <c r="A10" s="72" t="s">
        <v>562</v>
      </c>
      <c r="B10" s="73" t="s">
        <v>563</v>
      </c>
      <c r="C10" s="74" t="s">
        <v>564</v>
      </c>
      <c r="D10" s="75" t="s">
        <v>565</v>
      </c>
      <c r="E10" s="74" t="s">
        <v>566</v>
      </c>
      <c r="F10" s="21" t="s">
        <v>2</v>
      </c>
    </row>
    <row r="11" spans="1:8" ht="41.25" customHeight="1" x14ac:dyDescent="0.3">
      <c r="A11" s="68" t="s">
        <v>567</v>
      </c>
      <c r="B11" s="69" t="s">
        <v>568</v>
      </c>
      <c r="C11" s="70" t="s">
        <v>569</v>
      </c>
      <c r="D11" s="71" t="s">
        <v>570</v>
      </c>
      <c r="E11" s="70" t="s">
        <v>571</v>
      </c>
      <c r="F11" s="21" t="s">
        <v>2</v>
      </c>
    </row>
    <row r="12" spans="1:8" ht="69" customHeight="1" x14ac:dyDescent="0.3">
      <c r="A12" s="72" t="s">
        <v>572</v>
      </c>
      <c r="B12" s="73" t="s">
        <v>573</v>
      </c>
      <c r="C12" s="74" t="s">
        <v>574</v>
      </c>
      <c r="D12" s="75" t="s">
        <v>575</v>
      </c>
      <c r="E12" s="74" t="s">
        <v>576</v>
      </c>
      <c r="F12" s="21" t="s">
        <v>2</v>
      </c>
    </row>
    <row r="13" spans="1:8" ht="69" customHeight="1" x14ac:dyDescent="0.3">
      <c r="A13" s="68" t="s">
        <v>577</v>
      </c>
      <c r="B13" s="69" t="s">
        <v>578</v>
      </c>
      <c r="C13" s="70" t="s">
        <v>579</v>
      </c>
      <c r="D13" s="71"/>
      <c r="E13" s="70" t="s">
        <v>580</v>
      </c>
      <c r="F13" s="21" t="s">
        <v>2</v>
      </c>
    </row>
    <row r="14" spans="1:8" ht="69" customHeight="1" x14ac:dyDescent="0.3">
      <c r="A14" s="72" t="s">
        <v>581</v>
      </c>
      <c r="B14" s="73" t="s">
        <v>582</v>
      </c>
      <c r="C14" s="74" t="s">
        <v>583</v>
      </c>
      <c r="D14" s="75"/>
      <c r="E14" s="74" t="s">
        <v>584</v>
      </c>
      <c r="F14" s="76" t="s">
        <v>2</v>
      </c>
    </row>
    <row r="15" spans="1:8" ht="41.25" customHeight="1" x14ac:dyDescent="0.3">
      <c r="A15" s="68" t="s">
        <v>585</v>
      </c>
      <c r="B15" s="69" t="s">
        <v>80</v>
      </c>
      <c r="C15" s="70" t="s">
        <v>586</v>
      </c>
      <c r="D15" s="71" t="s">
        <v>587</v>
      </c>
      <c r="E15" s="70" t="s">
        <v>588</v>
      </c>
      <c r="F15" s="77" t="s">
        <v>4</v>
      </c>
    </row>
    <row r="16" spans="1:8" ht="54.75" customHeight="1" x14ac:dyDescent="0.3">
      <c r="A16" s="72" t="s">
        <v>589</v>
      </c>
      <c r="B16" s="73" t="s">
        <v>86</v>
      </c>
      <c r="C16" s="74" t="s">
        <v>590</v>
      </c>
      <c r="D16" s="75" t="s">
        <v>591</v>
      </c>
      <c r="E16" s="74" t="s">
        <v>592</v>
      </c>
      <c r="F16" s="77" t="s">
        <v>4</v>
      </c>
    </row>
    <row r="17" spans="1:6" ht="54.75" customHeight="1" x14ac:dyDescent="0.3">
      <c r="A17" s="68" t="s">
        <v>593</v>
      </c>
      <c r="B17" s="69" t="s">
        <v>594</v>
      </c>
      <c r="C17" s="70" t="s">
        <v>595</v>
      </c>
      <c r="D17" s="71"/>
      <c r="E17" s="70" t="s">
        <v>596</v>
      </c>
      <c r="F17" s="76" t="s">
        <v>5</v>
      </c>
    </row>
    <row r="18" spans="1:6" ht="54.75" customHeight="1" x14ac:dyDescent="0.3">
      <c r="A18" s="72" t="s">
        <v>597</v>
      </c>
      <c r="B18" s="73" t="s">
        <v>598</v>
      </c>
      <c r="C18" s="74" t="s">
        <v>599</v>
      </c>
      <c r="D18" s="75"/>
      <c r="E18" s="74" t="s">
        <v>600</v>
      </c>
      <c r="F18" s="76" t="s">
        <v>2</v>
      </c>
    </row>
    <row r="19" spans="1:6" ht="54.75" customHeight="1" x14ac:dyDescent="0.3">
      <c r="A19" s="68" t="s">
        <v>601</v>
      </c>
      <c r="B19" s="69" t="s">
        <v>602</v>
      </c>
      <c r="C19" s="70" t="s">
        <v>603</v>
      </c>
      <c r="D19" s="71"/>
      <c r="E19" s="70" t="s">
        <v>604</v>
      </c>
      <c r="F19" s="76" t="s">
        <v>4</v>
      </c>
    </row>
    <row r="20" spans="1:6" x14ac:dyDescent="0.3">
      <c r="F20" s="76"/>
    </row>
    <row r="21" spans="1:6" ht="24" customHeight="1" x14ac:dyDescent="0.3">
      <c r="A21" s="136" t="s">
        <v>605</v>
      </c>
      <c r="B21" s="136"/>
      <c r="C21" s="136"/>
      <c r="D21" s="136"/>
      <c r="E21" s="136"/>
    </row>
    <row r="22" spans="1:6" ht="14.25" customHeight="1" x14ac:dyDescent="0.3">
      <c r="A22" s="59"/>
      <c r="B22" s="59"/>
      <c r="C22" s="59"/>
      <c r="D22" s="59"/>
      <c r="E22" s="59"/>
      <c r="F22" s="63"/>
    </row>
  </sheetData>
  <mergeCells count="3">
    <mergeCell ref="A1:F1"/>
    <mergeCell ref="A2:F2"/>
    <mergeCell ref="A21:E21"/>
  </mergeCells>
  <dataValidations count="2">
    <dataValidation type="list" allowBlank="1" showInputMessage="1" showErrorMessage="1" sqref="H2:H6" xr:uid="{00000000-0002-0000-0B00-000000000000}">
      <formula1>RelevanzListe</formula1>
      <formula2>0</formula2>
    </dataValidation>
    <dataValidation type="list" allowBlank="1" showInputMessage="1" showErrorMessage="1" sqref="F5:F20" xr:uid="{00000000-0002-0000-0B00-000001000000}">
      <formula1>$H$2:$H$7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A6CAEC"/>
  </sheetPr>
  <dimension ref="A1:G21"/>
  <sheetViews>
    <sheetView zoomScaleNormal="100" workbookViewId="0">
      <pane xSplit="4" ySplit="3" topLeftCell="E13" activePane="bottomRight" state="frozen"/>
      <selection pane="topRight" activeCell="E1" sqref="E1"/>
      <selection pane="bottomLeft" activeCell="A13" sqref="A13"/>
      <selection pane="bottomRight" activeCell="E8" sqref="E8"/>
    </sheetView>
  </sheetViews>
  <sheetFormatPr baseColWidth="10" defaultColWidth="11.5546875" defaultRowHeight="15" x14ac:dyDescent="0.3"/>
  <cols>
    <col min="1" max="1" width="11.5546875" style="18"/>
    <col min="2" max="2" width="26.88671875" style="58" customWidth="1"/>
    <col min="3" max="3" width="47.109375" style="59" customWidth="1"/>
    <col min="4" max="4" width="38.33203125" style="18" customWidth="1"/>
    <col min="5" max="5" width="27.6640625" style="46" customWidth="1"/>
    <col min="6" max="6" width="11.5546875" style="47"/>
    <col min="7" max="7" width="28" customWidth="1"/>
    <col min="8" max="16384" width="11.5546875" style="60"/>
  </cols>
  <sheetData>
    <row r="1" spans="1:7" ht="39.75" customHeight="1" x14ac:dyDescent="0.25">
      <c r="A1" s="14" t="s">
        <v>606</v>
      </c>
      <c r="B1" s="14"/>
      <c r="C1" s="14"/>
      <c r="D1" s="14"/>
      <c r="E1" s="14"/>
      <c r="G1" s="16" t="s">
        <v>0</v>
      </c>
    </row>
    <row r="2" spans="1:7" x14ac:dyDescent="0.25">
      <c r="A2" s="13" t="s">
        <v>607</v>
      </c>
      <c r="B2" s="13"/>
      <c r="C2" s="13"/>
      <c r="D2" s="13"/>
      <c r="E2" s="13"/>
      <c r="G2" s="17" t="s">
        <v>1</v>
      </c>
    </row>
    <row r="3" spans="1:7" s="61" customFormat="1" ht="30" customHeight="1" x14ac:dyDescent="0.25">
      <c r="A3" s="51" t="s">
        <v>296</v>
      </c>
      <c r="B3" s="52" t="s">
        <v>327</v>
      </c>
      <c r="C3" s="53" t="s">
        <v>328</v>
      </c>
      <c r="D3" s="51" t="s">
        <v>329</v>
      </c>
      <c r="E3" s="51" t="s">
        <v>0</v>
      </c>
      <c r="F3" s="50"/>
      <c r="G3" s="17" t="s">
        <v>2</v>
      </c>
    </row>
    <row r="4" spans="1:7" ht="27" customHeight="1" x14ac:dyDescent="0.25">
      <c r="A4" s="33" t="s">
        <v>608</v>
      </c>
      <c r="B4" s="20" t="s">
        <v>178</v>
      </c>
      <c r="C4" s="21" t="s">
        <v>609</v>
      </c>
      <c r="D4" s="21" t="s">
        <v>610</v>
      </c>
      <c r="E4" s="21" t="s">
        <v>3</v>
      </c>
      <c r="G4" s="17" t="s">
        <v>3</v>
      </c>
    </row>
    <row r="5" spans="1:7" s="61" customFormat="1" ht="30" customHeight="1" x14ac:dyDescent="0.3">
      <c r="A5" s="35" t="s">
        <v>611</v>
      </c>
      <c r="B5" s="35" t="s">
        <v>184</v>
      </c>
      <c r="C5" s="36" t="s">
        <v>612</v>
      </c>
      <c r="D5" s="36" t="s">
        <v>613</v>
      </c>
      <c r="E5" s="21" t="s">
        <v>4</v>
      </c>
      <c r="F5" s="54"/>
      <c r="G5" s="18" t="s">
        <v>4</v>
      </c>
    </row>
    <row r="6" spans="1:7" s="47" customFormat="1" ht="111" customHeight="1" x14ac:dyDescent="0.25">
      <c r="A6" s="33" t="s">
        <v>614</v>
      </c>
      <c r="B6" s="20" t="s">
        <v>189</v>
      </c>
      <c r="C6" s="21" t="s">
        <v>615</v>
      </c>
      <c r="D6" s="21" t="s">
        <v>616</v>
      </c>
      <c r="E6" s="21" t="s">
        <v>2</v>
      </c>
      <c r="G6" s="17" t="s">
        <v>5</v>
      </c>
    </row>
    <row r="7" spans="1:7" s="47" customFormat="1" ht="111" customHeight="1" x14ac:dyDescent="0.25">
      <c r="A7" s="35" t="s">
        <v>617</v>
      </c>
      <c r="B7" s="35" t="s">
        <v>618</v>
      </c>
      <c r="C7" s="36" t="s">
        <v>619</v>
      </c>
      <c r="D7" s="36" t="s">
        <v>620</v>
      </c>
      <c r="E7" s="21" t="s">
        <v>5</v>
      </c>
    </row>
    <row r="8" spans="1:7" s="47" customFormat="1" ht="174.75" customHeight="1" x14ac:dyDescent="0.25">
      <c r="A8" s="33" t="s">
        <v>621</v>
      </c>
      <c r="B8" s="20" t="s">
        <v>622</v>
      </c>
      <c r="C8" s="21" t="s">
        <v>623</v>
      </c>
      <c r="D8" s="21" t="s">
        <v>624</v>
      </c>
      <c r="E8" s="21" t="s">
        <v>5</v>
      </c>
    </row>
    <row r="9" spans="1:7" s="47" customFormat="1" ht="111" customHeight="1" x14ac:dyDescent="0.25">
      <c r="A9" s="35" t="s">
        <v>625</v>
      </c>
      <c r="B9" s="35" t="s">
        <v>626</v>
      </c>
      <c r="C9" s="36" t="s">
        <v>627</v>
      </c>
      <c r="D9" s="36" t="s">
        <v>628</v>
      </c>
      <c r="E9" s="21" t="s">
        <v>5</v>
      </c>
    </row>
    <row r="10" spans="1:7" s="47" customFormat="1" ht="111" customHeight="1" x14ac:dyDescent="0.25">
      <c r="A10" s="33" t="s">
        <v>629</v>
      </c>
      <c r="B10" s="20" t="s">
        <v>630</v>
      </c>
      <c r="C10" s="21" t="s">
        <v>631</v>
      </c>
      <c r="D10" s="21" t="s">
        <v>632</v>
      </c>
      <c r="E10" s="21" t="s">
        <v>3</v>
      </c>
    </row>
    <row r="11" spans="1:7" s="47" customFormat="1" ht="111" customHeight="1" x14ac:dyDescent="0.25">
      <c r="A11" s="35" t="s">
        <v>633</v>
      </c>
      <c r="B11" s="35" t="s">
        <v>634</v>
      </c>
      <c r="C11" s="36" t="s">
        <v>635</v>
      </c>
      <c r="D11" s="36" t="s">
        <v>636</v>
      </c>
      <c r="E11" s="21" t="s">
        <v>5</v>
      </c>
    </row>
    <row r="12" spans="1:7" s="47" customFormat="1" ht="111" customHeight="1" x14ac:dyDescent="0.25">
      <c r="A12" s="33" t="s">
        <v>637</v>
      </c>
      <c r="B12" s="20" t="s">
        <v>638</v>
      </c>
      <c r="C12" s="21" t="s">
        <v>635</v>
      </c>
      <c r="D12" s="21" t="s">
        <v>639</v>
      </c>
      <c r="E12" s="21" t="s">
        <v>5</v>
      </c>
    </row>
    <row r="13" spans="1:7" ht="111" customHeight="1" x14ac:dyDescent="0.3">
      <c r="A13" s="35" t="s">
        <v>640</v>
      </c>
      <c r="B13" s="35" t="s">
        <v>641</v>
      </c>
      <c r="C13" s="36" t="s">
        <v>635</v>
      </c>
      <c r="D13" s="36" t="s">
        <v>642</v>
      </c>
      <c r="E13" s="21" t="s">
        <v>5</v>
      </c>
    </row>
    <row r="14" spans="1:7" ht="111" customHeight="1" x14ac:dyDescent="0.3">
      <c r="A14" s="33" t="s">
        <v>643</v>
      </c>
      <c r="B14" s="20" t="s">
        <v>644</v>
      </c>
      <c r="C14" s="21" t="s">
        <v>645</v>
      </c>
      <c r="D14" s="21" t="s">
        <v>646</v>
      </c>
      <c r="E14" s="21" t="s">
        <v>3</v>
      </c>
    </row>
    <row r="15" spans="1:7" ht="111" customHeight="1" x14ac:dyDescent="0.3">
      <c r="A15" s="35" t="s">
        <v>647</v>
      </c>
      <c r="B15" s="35" t="s">
        <v>648</v>
      </c>
      <c r="C15" s="36" t="s">
        <v>649</v>
      </c>
      <c r="D15" s="36" t="s">
        <v>650</v>
      </c>
      <c r="E15" s="21" t="s">
        <v>3</v>
      </c>
    </row>
    <row r="16" spans="1:7" ht="115.5" customHeight="1" x14ac:dyDescent="0.3">
      <c r="A16" s="33" t="s">
        <v>651</v>
      </c>
      <c r="B16" s="20" t="s">
        <v>652</v>
      </c>
      <c r="C16" s="21" t="s">
        <v>653</v>
      </c>
      <c r="D16" s="21" t="s">
        <v>654</v>
      </c>
      <c r="E16" s="21" t="s">
        <v>5</v>
      </c>
    </row>
    <row r="17" spans="1:5" ht="91.5" customHeight="1" x14ac:dyDescent="0.3">
      <c r="A17" s="35" t="s">
        <v>655</v>
      </c>
      <c r="B17" s="35" t="s">
        <v>656</v>
      </c>
      <c r="C17" s="36" t="s">
        <v>657</v>
      </c>
      <c r="D17" s="36" t="s">
        <v>658</v>
      </c>
      <c r="E17" s="21" t="s">
        <v>5</v>
      </c>
    </row>
    <row r="18" spans="1:5" ht="96" customHeight="1" x14ac:dyDescent="0.3"/>
    <row r="19" spans="1:5" ht="120" customHeight="1" x14ac:dyDescent="0.3">
      <c r="A19" s="137" t="s">
        <v>659</v>
      </c>
      <c r="B19" s="137"/>
      <c r="C19" s="137"/>
      <c r="D19" s="137"/>
      <c r="E19" s="137"/>
    </row>
    <row r="21" spans="1:5" ht="27" customHeight="1" x14ac:dyDescent="0.3"/>
  </sheetData>
  <mergeCells count="3">
    <mergeCell ref="A1:E1"/>
    <mergeCell ref="A2:E2"/>
    <mergeCell ref="A19:E19"/>
  </mergeCells>
  <dataValidations count="2">
    <dataValidation type="list" allowBlank="1" showInputMessage="1" showErrorMessage="1" sqref="G2:G6" xr:uid="{00000000-0002-0000-0C00-000000000000}">
      <formula1>RelevanzListe</formula1>
      <formula2>0</formula2>
    </dataValidation>
    <dataValidation type="list" allowBlank="1" showInputMessage="1" showErrorMessage="1" sqref="E4:E17" xr:uid="{00000000-0002-0000-0C00-000001000000}">
      <formula1>$G$2:$G$7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A6CAEC"/>
  </sheetPr>
  <dimension ref="A1:G14"/>
  <sheetViews>
    <sheetView zoomScaleNormal="100" workbookViewId="0">
      <pane ySplit="4" topLeftCell="A5" activePane="bottomLeft" state="frozen"/>
      <selection pane="bottomLeft" activeCell="E4" sqref="E4"/>
    </sheetView>
  </sheetViews>
  <sheetFormatPr baseColWidth="10" defaultColWidth="11.5546875" defaultRowHeight="15" x14ac:dyDescent="0.3"/>
  <cols>
    <col min="1" max="1" width="11.5546875" style="18"/>
    <col min="2" max="2" width="26.88671875" style="58" customWidth="1"/>
    <col min="3" max="3" width="47.109375" style="59" customWidth="1"/>
    <col min="4" max="4" width="38.33203125" style="18" customWidth="1"/>
    <col min="5" max="5" width="27.6640625" style="46" customWidth="1"/>
    <col min="6" max="6" width="11.5546875" style="47"/>
    <col min="7" max="7" width="28" customWidth="1"/>
    <col min="8" max="16384" width="11.5546875" style="60"/>
  </cols>
  <sheetData>
    <row r="1" spans="1:7" ht="39.75" customHeight="1" x14ac:dyDescent="0.25">
      <c r="A1" s="14" t="s">
        <v>321</v>
      </c>
      <c r="B1" s="14"/>
      <c r="C1" s="14"/>
      <c r="D1" s="14"/>
      <c r="E1" s="14"/>
      <c r="G1" s="16" t="s">
        <v>0</v>
      </c>
    </row>
    <row r="2" spans="1:7" x14ac:dyDescent="0.25">
      <c r="A2" s="13" t="s">
        <v>660</v>
      </c>
      <c r="B2" s="13"/>
      <c r="C2" s="13"/>
      <c r="D2" s="13"/>
      <c r="E2" s="13"/>
      <c r="G2" s="17" t="s">
        <v>1</v>
      </c>
    </row>
    <row r="3" spans="1:7" s="61" customFormat="1" ht="30" customHeight="1" x14ac:dyDescent="0.25">
      <c r="A3" s="51" t="s">
        <v>296</v>
      </c>
      <c r="B3" s="52" t="s">
        <v>327</v>
      </c>
      <c r="C3" s="53" t="s">
        <v>328</v>
      </c>
      <c r="D3" s="51" t="s">
        <v>329</v>
      </c>
      <c r="E3" s="78" t="s">
        <v>0</v>
      </c>
      <c r="F3" s="50"/>
      <c r="G3" s="17" t="s">
        <v>2</v>
      </c>
    </row>
    <row r="4" spans="1:7" ht="54.75" customHeight="1" x14ac:dyDescent="0.25">
      <c r="A4" s="33" t="s">
        <v>661</v>
      </c>
      <c r="B4" s="20" t="s">
        <v>662</v>
      </c>
      <c r="C4" s="21" t="s">
        <v>663</v>
      </c>
      <c r="D4" s="21" t="s">
        <v>664</v>
      </c>
      <c r="E4" s="21" t="s">
        <v>5</v>
      </c>
      <c r="G4" s="17" t="s">
        <v>3</v>
      </c>
    </row>
    <row r="5" spans="1:7" s="61" customFormat="1" ht="69" customHeight="1" x14ac:dyDescent="0.3">
      <c r="A5" s="35" t="s">
        <v>665</v>
      </c>
      <c r="B5" s="35" t="s">
        <v>666</v>
      </c>
      <c r="C5" s="36" t="s">
        <v>667</v>
      </c>
      <c r="D5" s="36" t="s">
        <v>668</v>
      </c>
      <c r="E5" s="21" t="s">
        <v>5</v>
      </c>
      <c r="F5" s="54"/>
      <c r="G5" s="18" t="s">
        <v>4</v>
      </c>
    </row>
    <row r="6" spans="1:7" s="47" customFormat="1" ht="111" customHeight="1" x14ac:dyDescent="0.25">
      <c r="A6" s="33" t="s">
        <v>669</v>
      </c>
      <c r="B6" s="20" t="s">
        <v>670</v>
      </c>
      <c r="C6" s="21" t="s">
        <v>671</v>
      </c>
      <c r="D6" s="21" t="s">
        <v>672</v>
      </c>
      <c r="E6" s="21" t="s">
        <v>5</v>
      </c>
      <c r="G6" s="17" t="s">
        <v>5</v>
      </c>
    </row>
    <row r="7" spans="1:7" s="47" customFormat="1" ht="111" customHeight="1" x14ac:dyDescent="0.25">
      <c r="A7" s="18"/>
      <c r="B7" s="58"/>
      <c r="C7" s="59"/>
      <c r="D7" s="18"/>
      <c r="E7" s="18"/>
    </row>
    <row r="8" spans="1:7" s="47" customFormat="1" ht="174.75" customHeight="1" x14ac:dyDescent="0.25">
      <c r="A8" s="137" t="s">
        <v>673</v>
      </c>
      <c r="B8" s="137"/>
      <c r="C8" s="137"/>
      <c r="D8" s="137"/>
      <c r="E8" s="137"/>
    </row>
    <row r="9" spans="1:7" ht="14.25" customHeight="1" x14ac:dyDescent="0.3">
      <c r="E9" s="17"/>
    </row>
    <row r="10" spans="1:7" ht="27" customHeight="1" x14ac:dyDescent="0.3">
      <c r="E10" s="17"/>
    </row>
    <row r="11" spans="1:7" ht="14.25" customHeight="1" x14ac:dyDescent="0.3">
      <c r="E11" s="17"/>
    </row>
    <row r="13" spans="1:7" ht="14.25" customHeight="1" x14ac:dyDescent="0.3">
      <c r="E13" s="18"/>
    </row>
    <row r="14" spans="1:7" ht="14.25" customHeight="1" x14ac:dyDescent="0.3">
      <c r="E14" s="18"/>
    </row>
  </sheetData>
  <mergeCells count="3">
    <mergeCell ref="A1:E1"/>
    <mergeCell ref="A2:E2"/>
    <mergeCell ref="A8:E8"/>
  </mergeCells>
  <dataValidations count="2">
    <dataValidation type="list" allowBlank="1" showInputMessage="1" showErrorMessage="1" sqref="G2:G6" xr:uid="{00000000-0002-0000-0D00-000000000000}">
      <formula1>RelevanzListe</formula1>
      <formula2>0</formula2>
    </dataValidation>
    <dataValidation type="list" allowBlank="1" showInputMessage="1" showErrorMessage="1" sqref="E4:E11" xr:uid="{00000000-0002-0000-0D00-000001000000}">
      <formula1>$G$2:$G$7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G101"/>
  <sheetViews>
    <sheetView zoomScaleNormal="100" workbookViewId="0">
      <pane ySplit="3" topLeftCell="A4" activePane="bottomLeft" state="frozen"/>
      <selection pane="bottomLeft" activeCell="D13" sqref="D13"/>
    </sheetView>
  </sheetViews>
  <sheetFormatPr baseColWidth="10" defaultColWidth="11.5546875" defaultRowHeight="15" x14ac:dyDescent="0.3"/>
  <cols>
    <col min="1" max="1" width="11.5546875" style="18"/>
    <col min="2" max="2" width="26.88671875" style="18" customWidth="1"/>
    <col min="3" max="3" width="54.21875" style="18" customWidth="1"/>
    <col min="4" max="4" width="50.6640625" style="18" customWidth="1"/>
    <col min="5" max="5" width="27.6640625" style="46" customWidth="1"/>
    <col min="6" max="6" width="61.5546875" style="47" customWidth="1"/>
    <col min="7" max="7" width="28" customWidth="1"/>
    <col min="8" max="16384" width="11.5546875" style="47"/>
  </cols>
  <sheetData>
    <row r="1" spans="1:7" ht="50.25" customHeight="1" x14ac:dyDescent="0.25">
      <c r="A1" s="135" t="s">
        <v>294</v>
      </c>
      <c r="B1" s="135"/>
      <c r="C1" s="135"/>
      <c r="D1" s="135"/>
      <c r="E1" s="135"/>
      <c r="G1" s="48" t="s">
        <v>0</v>
      </c>
    </row>
    <row r="2" spans="1:7" ht="50.25" customHeight="1" x14ac:dyDescent="0.25">
      <c r="A2" s="13" t="s">
        <v>295</v>
      </c>
      <c r="B2" s="13"/>
      <c r="C2" s="13"/>
      <c r="D2" s="13"/>
      <c r="E2" s="13"/>
      <c r="G2" s="49" t="s">
        <v>1</v>
      </c>
    </row>
    <row r="3" spans="1:7" s="50" customFormat="1" ht="50.25" customHeight="1" x14ac:dyDescent="0.25">
      <c r="A3" s="51" t="s">
        <v>296</v>
      </c>
      <c r="B3" s="52" t="s">
        <v>327</v>
      </c>
      <c r="C3" s="53" t="s">
        <v>328</v>
      </c>
      <c r="D3" s="51" t="s">
        <v>329</v>
      </c>
      <c r="E3" s="51" t="s">
        <v>0</v>
      </c>
      <c r="G3" s="49" t="s">
        <v>2</v>
      </c>
    </row>
    <row r="4" spans="1:7" ht="50.25" customHeight="1" x14ac:dyDescent="0.25">
      <c r="A4" s="79">
        <v>1</v>
      </c>
      <c r="B4" s="80" t="s">
        <v>300</v>
      </c>
      <c r="C4" s="79" t="s">
        <v>301</v>
      </c>
      <c r="D4" s="79" t="s">
        <v>302</v>
      </c>
      <c r="E4" s="79"/>
      <c r="G4" s="49" t="s">
        <v>3</v>
      </c>
    </row>
    <row r="5" spans="1:7" s="54" customFormat="1" ht="50.25" customHeight="1" x14ac:dyDescent="0.3">
      <c r="A5" s="33" t="s">
        <v>330</v>
      </c>
      <c r="B5" s="20" t="s">
        <v>152</v>
      </c>
      <c r="C5" s="21" t="s">
        <v>331</v>
      </c>
      <c r="D5" s="21" t="s">
        <v>332</v>
      </c>
      <c r="E5" s="21" t="s">
        <v>4</v>
      </c>
      <c r="G5" s="55" t="s">
        <v>4</v>
      </c>
    </row>
    <row r="6" spans="1:7" ht="63" customHeight="1" x14ac:dyDescent="0.25">
      <c r="A6" s="62" t="s">
        <v>333</v>
      </c>
      <c r="B6" s="35" t="s">
        <v>334</v>
      </c>
      <c r="C6" s="36" t="s">
        <v>335</v>
      </c>
      <c r="D6" s="36" t="s">
        <v>336</v>
      </c>
      <c r="E6" s="21" t="s">
        <v>2</v>
      </c>
      <c r="G6" s="49" t="s">
        <v>5</v>
      </c>
    </row>
    <row r="7" spans="1:7" ht="63" customHeight="1" x14ac:dyDescent="0.3">
      <c r="A7" s="20" t="s">
        <v>337</v>
      </c>
      <c r="B7" s="20" t="s">
        <v>338</v>
      </c>
      <c r="C7" s="21" t="s">
        <v>339</v>
      </c>
      <c r="D7" s="21" t="s">
        <v>340</v>
      </c>
      <c r="E7" s="21" t="s">
        <v>4</v>
      </c>
      <c r="G7" s="56"/>
    </row>
    <row r="8" spans="1:7" ht="63" customHeight="1" x14ac:dyDescent="0.3">
      <c r="A8" s="35" t="s">
        <v>341</v>
      </c>
      <c r="B8" s="35" t="s">
        <v>157</v>
      </c>
      <c r="C8" s="36" t="s">
        <v>342</v>
      </c>
      <c r="D8" s="36" t="s">
        <v>343</v>
      </c>
      <c r="E8" s="57" t="s">
        <v>3</v>
      </c>
    </row>
    <row r="9" spans="1:7" ht="63" customHeight="1" x14ac:dyDescent="0.3">
      <c r="A9" s="20" t="s">
        <v>344</v>
      </c>
      <c r="B9" s="20" t="s">
        <v>162</v>
      </c>
      <c r="C9" s="21" t="s">
        <v>345</v>
      </c>
      <c r="D9" s="21" t="s">
        <v>343</v>
      </c>
      <c r="E9" s="21" t="s">
        <v>3</v>
      </c>
    </row>
    <row r="10" spans="1:7" ht="63" customHeight="1" x14ac:dyDescent="0.3">
      <c r="A10" s="35" t="s">
        <v>346</v>
      </c>
      <c r="B10" s="35" t="s">
        <v>347</v>
      </c>
      <c r="C10" s="36" t="s">
        <v>348</v>
      </c>
      <c r="D10" s="36" t="s">
        <v>349</v>
      </c>
      <c r="E10" s="21" t="s">
        <v>3</v>
      </c>
    </row>
    <row r="11" spans="1:7" ht="63" customHeight="1" x14ac:dyDescent="0.3">
      <c r="A11" s="20" t="s">
        <v>350</v>
      </c>
      <c r="B11" s="20" t="s">
        <v>351</v>
      </c>
      <c r="C11" s="21" t="s">
        <v>352</v>
      </c>
      <c r="D11" s="21" t="s">
        <v>343</v>
      </c>
      <c r="E11" s="21" t="s">
        <v>5</v>
      </c>
    </row>
    <row r="12" spans="1:7" ht="63" customHeight="1" x14ac:dyDescent="0.3">
      <c r="A12" s="35" t="s">
        <v>353</v>
      </c>
      <c r="B12" s="35" t="s">
        <v>170</v>
      </c>
      <c r="C12" s="36" t="s">
        <v>354</v>
      </c>
      <c r="D12" s="36" t="s">
        <v>355</v>
      </c>
      <c r="E12" s="21" t="s">
        <v>5</v>
      </c>
    </row>
    <row r="13" spans="1:7" ht="63" customHeight="1" x14ac:dyDescent="0.3">
      <c r="A13" s="33" t="s">
        <v>356</v>
      </c>
      <c r="B13" s="20" t="s">
        <v>357</v>
      </c>
      <c r="C13" s="21" t="s">
        <v>352</v>
      </c>
      <c r="D13" s="21" t="s">
        <v>343</v>
      </c>
      <c r="E13" s="21" t="s">
        <v>3</v>
      </c>
    </row>
    <row r="14" spans="1:7" ht="50.25" customHeight="1" x14ac:dyDescent="0.3">
      <c r="A14" s="79">
        <v>2</v>
      </c>
      <c r="B14" s="80" t="s">
        <v>303</v>
      </c>
      <c r="C14" s="79" t="s">
        <v>304</v>
      </c>
      <c r="D14" s="79" t="s">
        <v>305</v>
      </c>
      <c r="E14" s="79"/>
    </row>
    <row r="15" spans="1:7" ht="50.25" customHeight="1" x14ac:dyDescent="0.3">
      <c r="A15" s="33" t="s">
        <v>360</v>
      </c>
      <c r="B15" s="20" t="s">
        <v>39</v>
      </c>
      <c r="C15" s="21" t="s">
        <v>361</v>
      </c>
      <c r="D15" s="21" t="s">
        <v>362</v>
      </c>
      <c r="E15" s="21" t="s">
        <v>4</v>
      </c>
    </row>
    <row r="16" spans="1:7" ht="50.25" customHeight="1" x14ac:dyDescent="0.3">
      <c r="A16" s="62" t="s">
        <v>363</v>
      </c>
      <c r="B16" s="35" t="s">
        <v>364</v>
      </c>
      <c r="C16" s="36" t="s">
        <v>365</v>
      </c>
      <c r="D16" s="36" t="s">
        <v>366</v>
      </c>
      <c r="E16" s="21" t="s">
        <v>5</v>
      </c>
    </row>
    <row r="17" spans="1:5" ht="50.25" customHeight="1" x14ac:dyDescent="0.3">
      <c r="A17" s="20" t="s">
        <v>367</v>
      </c>
      <c r="B17" s="20" t="s">
        <v>368</v>
      </c>
      <c r="C17" s="21" t="s">
        <v>369</v>
      </c>
      <c r="D17" s="21" t="s">
        <v>370</v>
      </c>
      <c r="E17" s="21" t="s">
        <v>2</v>
      </c>
    </row>
    <row r="18" spans="1:5" ht="50.25" customHeight="1" x14ac:dyDescent="0.3">
      <c r="A18" s="35" t="s">
        <v>371</v>
      </c>
      <c r="B18" s="35" t="s">
        <v>34</v>
      </c>
      <c r="C18" s="36" t="s">
        <v>372</v>
      </c>
      <c r="D18" s="36" t="s">
        <v>373</v>
      </c>
      <c r="E18" s="57" t="s">
        <v>2</v>
      </c>
    </row>
    <row r="19" spans="1:5" ht="50.25" customHeight="1" x14ac:dyDescent="0.3">
      <c r="A19" s="20" t="s">
        <v>374</v>
      </c>
      <c r="B19" s="20" t="s">
        <v>375</v>
      </c>
      <c r="C19" s="21" t="s">
        <v>376</v>
      </c>
      <c r="D19" s="21" t="s">
        <v>377</v>
      </c>
      <c r="E19" s="21" t="s">
        <v>5</v>
      </c>
    </row>
    <row r="20" spans="1:5" ht="50.25" customHeight="1" x14ac:dyDescent="0.3">
      <c r="A20" s="35" t="s">
        <v>378</v>
      </c>
      <c r="B20" s="35" t="s">
        <v>17</v>
      </c>
      <c r="C20" s="36" t="s">
        <v>379</v>
      </c>
      <c r="D20" s="36" t="s">
        <v>674</v>
      </c>
      <c r="E20" s="21" t="s">
        <v>2</v>
      </c>
    </row>
    <row r="21" spans="1:5" ht="50.25" customHeight="1" x14ac:dyDescent="0.3">
      <c r="A21" s="20" t="s">
        <v>381</v>
      </c>
      <c r="B21" s="20" t="s">
        <v>382</v>
      </c>
      <c r="C21" s="21" t="s">
        <v>383</v>
      </c>
      <c r="D21" s="21" t="s">
        <v>384</v>
      </c>
      <c r="E21" s="21" t="s">
        <v>5</v>
      </c>
    </row>
    <row r="22" spans="1:5" ht="50.25" customHeight="1" x14ac:dyDescent="0.3">
      <c r="A22" s="79">
        <v>3</v>
      </c>
      <c r="B22" s="80" t="s">
        <v>306</v>
      </c>
      <c r="C22" s="79" t="s">
        <v>307</v>
      </c>
      <c r="D22" s="79" t="s">
        <v>308</v>
      </c>
      <c r="E22" s="79"/>
    </row>
    <row r="23" spans="1:5" ht="50.25" customHeight="1" x14ac:dyDescent="0.3">
      <c r="A23" s="33" t="s">
        <v>386</v>
      </c>
      <c r="B23" s="20" t="s">
        <v>387</v>
      </c>
      <c r="C23" s="21" t="s">
        <v>388</v>
      </c>
      <c r="D23" s="21" t="s">
        <v>389</v>
      </c>
      <c r="E23" s="21" t="s">
        <v>1</v>
      </c>
    </row>
    <row r="24" spans="1:5" ht="50.25" customHeight="1" x14ac:dyDescent="0.3">
      <c r="A24" s="62" t="s">
        <v>390</v>
      </c>
      <c r="B24" s="35" t="s">
        <v>391</v>
      </c>
      <c r="C24" s="36" t="s">
        <v>392</v>
      </c>
      <c r="D24" s="36" t="s">
        <v>393</v>
      </c>
      <c r="E24" s="21" t="s">
        <v>1</v>
      </c>
    </row>
    <row r="25" spans="1:5" ht="50.25" customHeight="1" x14ac:dyDescent="0.3">
      <c r="A25" s="20" t="s">
        <v>394</v>
      </c>
      <c r="B25" s="20" t="s">
        <v>395</v>
      </c>
      <c r="C25" s="21" t="s">
        <v>396</v>
      </c>
      <c r="D25" s="21" t="s">
        <v>393</v>
      </c>
      <c r="E25" s="21" t="s">
        <v>1</v>
      </c>
    </row>
    <row r="26" spans="1:5" ht="50.25" customHeight="1" x14ac:dyDescent="0.3">
      <c r="A26" s="35" t="s">
        <v>397</v>
      </c>
      <c r="B26" s="35" t="s">
        <v>398</v>
      </c>
      <c r="C26" s="36" t="s">
        <v>399</v>
      </c>
      <c r="D26" s="36" t="s">
        <v>400</v>
      </c>
      <c r="E26" s="57" t="s">
        <v>1</v>
      </c>
    </row>
    <row r="27" spans="1:5" ht="50.25" customHeight="1" x14ac:dyDescent="0.3">
      <c r="A27" s="20" t="s">
        <v>401</v>
      </c>
      <c r="B27" s="20" t="s">
        <v>402</v>
      </c>
      <c r="C27" s="21" t="s">
        <v>403</v>
      </c>
      <c r="D27" s="21" t="s">
        <v>404</v>
      </c>
      <c r="E27" s="21" t="s">
        <v>1</v>
      </c>
    </row>
    <row r="28" spans="1:5" ht="50.25" customHeight="1" x14ac:dyDescent="0.3">
      <c r="A28" s="35" t="s">
        <v>405</v>
      </c>
      <c r="B28" s="35" t="s">
        <v>406</v>
      </c>
      <c r="C28" s="36" t="s">
        <v>407</v>
      </c>
      <c r="D28" s="36" t="s">
        <v>408</v>
      </c>
      <c r="E28" s="21" t="s">
        <v>5</v>
      </c>
    </row>
    <row r="29" spans="1:5" ht="50.25" customHeight="1" x14ac:dyDescent="0.3">
      <c r="A29" s="20" t="s">
        <v>409</v>
      </c>
      <c r="B29" s="20" t="s">
        <v>107</v>
      </c>
      <c r="C29" s="21" t="s">
        <v>410</v>
      </c>
      <c r="D29" s="21" t="s">
        <v>411</v>
      </c>
      <c r="E29" s="21" t="s">
        <v>5</v>
      </c>
    </row>
    <row r="30" spans="1:5" ht="50.25" customHeight="1" x14ac:dyDescent="0.3">
      <c r="A30" s="33" t="s">
        <v>412</v>
      </c>
      <c r="B30" s="20" t="s">
        <v>413</v>
      </c>
      <c r="C30" s="21" t="s">
        <v>414</v>
      </c>
      <c r="D30" s="21" t="s">
        <v>415</v>
      </c>
      <c r="E30" s="21" t="s">
        <v>5</v>
      </c>
    </row>
    <row r="31" spans="1:5" ht="50.25" customHeight="1" x14ac:dyDescent="0.3">
      <c r="A31" s="62" t="s">
        <v>416</v>
      </c>
      <c r="B31" s="35" t="s">
        <v>112</v>
      </c>
      <c r="C31" s="36" t="s">
        <v>417</v>
      </c>
      <c r="D31" s="36" t="s">
        <v>418</v>
      </c>
      <c r="E31" s="21" t="s">
        <v>4</v>
      </c>
    </row>
    <row r="32" spans="1:5" ht="50.25" customHeight="1" x14ac:dyDescent="0.3">
      <c r="A32" s="20" t="s">
        <v>419</v>
      </c>
      <c r="B32" s="20" t="s">
        <v>420</v>
      </c>
      <c r="C32" s="21" t="s">
        <v>421</v>
      </c>
      <c r="D32" s="21" t="s">
        <v>422</v>
      </c>
      <c r="E32" s="21" t="s">
        <v>5</v>
      </c>
    </row>
    <row r="33" spans="1:5" ht="50.25" customHeight="1" x14ac:dyDescent="0.3">
      <c r="A33" s="35" t="s">
        <v>423</v>
      </c>
      <c r="B33" s="35" t="s">
        <v>424</v>
      </c>
      <c r="C33" s="36" t="s">
        <v>425</v>
      </c>
      <c r="D33" s="36" t="s">
        <v>426</v>
      </c>
      <c r="E33" s="21" t="s">
        <v>5</v>
      </c>
    </row>
    <row r="34" spans="1:5" ht="50.25" customHeight="1" x14ac:dyDescent="0.3">
      <c r="A34" s="20" t="s">
        <v>427</v>
      </c>
      <c r="B34" s="20" t="s">
        <v>428</v>
      </c>
      <c r="C34" s="21" t="s">
        <v>429</v>
      </c>
      <c r="D34" s="21" t="s">
        <v>430</v>
      </c>
      <c r="E34" s="21" t="s">
        <v>5</v>
      </c>
    </row>
    <row r="35" spans="1:5" ht="50.25" customHeight="1" x14ac:dyDescent="0.3">
      <c r="A35" s="65" t="s">
        <v>431</v>
      </c>
      <c r="B35" s="35" t="s">
        <v>432</v>
      </c>
      <c r="C35" s="36" t="s">
        <v>433</v>
      </c>
      <c r="D35" s="36" t="s">
        <v>434</v>
      </c>
      <c r="E35" s="21" t="s">
        <v>4</v>
      </c>
    </row>
    <row r="36" spans="1:5" ht="50.25" customHeight="1" x14ac:dyDescent="0.3">
      <c r="A36" s="79">
        <v>4</v>
      </c>
      <c r="B36" s="80" t="s">
        <v>309</v>
      </c>
      <c r="C36" s="79" t="s">
        <v>310</v>
      </c>
      <c r="D36" s="79" t="s">
        <v>311</v>
      </c>
      <c r="E36" s="81"/>
    </row>
    <row r="37" spans="1:5" ht="50.25" customHeight="1" x14ac:dyDescent="0.3">
      <c r="A37" s="33" t="s">
        <v>437</v>
      </c>
      <c r="B37" s="20" t="s">
        <v>438</v>
      </c>
      <c r="C37" s="21" t="s">
        <v>439</v>
      </c>
      <c r="D37" s="21" t="s">
        <v>440</v>
      </c>
      <c r="E37" s="21" t="s">
        <v>4</v>
      </c>
    </row>
    <row r="38" spans="1:5" ht="50.25" customHeight="1" x14ac:dyDescent="0.3">
      <c r="A38" s="35" t="s">
        <v>441</v>
      </c>
      <c r="B38" s="35" t="s">
        <v>442</v>
      </c>
      <c r="C38" s="36" t="s">
        <v>443</v>
      </c>
      <c r="D38" s="36" t="s">
        <v>444</v>
      </c>
      <c r="E38" s="21" t="s">
        <v>5</v>
      </c>
    </row>
    <row r="39" spans="1:5" ht="50.25" customHeight="1" x14ac:dyDescent="0.3">
      <c r="A39" s="33" t="s">
        <v>445</v>
      </c>
      <c r="B39" s="20" t="s">
        <v>446</v>
      </c>
      <c r="C39" s="21" t="s">
        <v>447</v>
      </c>
      <c r="D39" s="21" t="s">
        <v>448</v>
      </c>
      <c r="E39" s="21" t="s">
        <v>4</v>
      </c>
    </row>
    <row r="40" spans="1:5" ht="50.25" customHeight="1" x14ac:dyDescent="0.3">
      <c r="A40" s="35" t="s">
        <v>449</v>
      </c>
      <c r="B40" s="35" t="s">
        <v>43</v>
      </c>
      <c r="C40" s="36" t="s">
        <v>450</v>
      </c>
      <c r="D40" s="36" t="s">
        <v>451</v>
      </c>
      <c r="E40" s="57" t="s">
        <v>4</v>
      </c>
    </row>
    <row r="41" spans="1:5" ht="50.25" customHeight="1" x14ac:dyDescent="0.3">
      <c r="A41" s="33" t="s">
        <v>452</v>
      </c>
      <c r="B41" s="20" t="s">
        <v>453</v>
      </c>
      <c r="C41" s="21" t="s">
        <v>454</v>
      </c>
      <c r="D41" s="21" t="s">
        <v>455</v>
      </c>
      <c r="E41" s="21" t="s">
        <v>1</v>
      </c>
    </row>
    <row r="42" spans="1:5" ht="50.25" customHeight="1" x14ac:dyDescent="0.3">
      <c r="A42" s="35" t="s">
        <v>456</v>
      </c>
      <c r="B42" s="35" t="s">
        <v>457</v>
      </c>
      <c r="C42" s="36" t="s">
        <v>458</v>
      </c>
      <c r="D42" s="36" t="s">
        <v>459</v>
      </c>
      <c r="E42" s="21" t="s">
        <v>2</v>
      </c>
    </row>
    <row r="43" spans="1:5" ht="50.25" customHeight="1" x14ac:dyDescent="0.3">
      <c r="A43" s="33" t="s">
        <v>460</v>
      </c>
      <c r="B43" s="20" t="s">
        <v>461</v>
      </c>
      <c r="C43" s="21" t="s">
        <v>462</v>
      </c>
      <c r="D43" s="21" t="s">
        <v>463</v>
      </c>
      <c r="E43" s="21" t="s">
        <v>2</v>
      </c>
    </row>
    <row r="44" spans="1:5" ht="50.25" customHeight="1" x14ac:dyDescent="0.3">
      <c r="A44" s="35" t="s">
        <v>464</v>
      </c>
      <c r="B44" s="35" t="s">
        <v>123</v>
      </c>
      <c r="C44" s="36" t="s">
        <v>465</v>
      </c>
      <c r="D44" s="36" t="s">
        <v>466</v>
      </c>
      <c r="E44" s="21" t="s">
        <v>4</v>
      </c>
    </row>
    <row r="45" spans="1:5" ht="50.25" customHeight="1" x14ac:dyDescent="0.3">
      <c r="A45" s="33" t="s">
        <v>467</v>
      </c>
      <c r="B45" s="20" t="s">
        <v>468</v>
      </c>
      <c r="C45" s="21" t="s">
        <v>469</v>
      </c>
      <c r="D45" s="21" t="s">
        <v>470</v>
      </c>
      <c r="E45" s="21" t="s">
        <v>5</v>
      </c>
    </row>
    <row r="46" spans="1:5" ht="50.25" customHeight="1" x14ac:dyDescent="0.3">
      <c r="A46" s="35" t="s">
        <v>471</v>
      </c>
      <c r="B46" s="35" t="s">
        <v>472</v>
      </c>
      <c r="C46" s="36" t="s">
        <v>473</v>
      </c>
      <c r="D46" s="36" t="s">
        <v>474</v>
      </c>
      <c r="E46" s="21" t="s">
        <v>5</v>
      </c>
    </row>
    <row r="47" spans="1:5" ht="50.25" customHeight="1" x14ac:dyDescent="0.3">
      <c r="A47" s="33" t="s">
        <v>475</v>
      </c>
      <c r="B47" s="20" t="s">
        <v>476</v>
      </c>
      <c r="C47" s="21" t="s">
        <v>477</v>
      </c>
      <c r="D47" s="21" t="s">
        <v>478</v>
      </c>
      <c r="E47" s="21" t="s">
        <v>5</v>
      </c>
    </row>
    <row r="48" spans="1:5" ht="50.25" customHeight="1" x14ac:dyDescent="0.3">
      <c r="A48" s="35" t="s">
        <v>479</v>
      </c>
      <c r="B48" s="35" t="s">
        <v>480</v>
      </c>
      <c r="C48" s="36" t="s">
        <v>481</v>
      </c>
      <c r="D48" s="36" t="s">
        <v>482</v>
      </c>
      <c r="E48" s="21" t="s">
        <v>4</v>
      </c>
    </row>
    <row r="49" spans="1:6" ht="50.25" customHeight="1" x14ac:dyDescent="0.3">
      <c r="A49" s="33" t="s">
        <v>483</v>
      </c>
      <c r="B49" s="20" t="s">
        <v>484</v>
      </c>
      <c r="C49" s="21" t="s">
        <v>485</v>
      </c>
      <c r="D49" s="21" t="s">
        <v>486</v>
      </c>
      <c r="E49" s="21" t="s">
        <v>5</v>
      </c>
    </row>
    <row r="50" spans="1:6" ht="50.25" customHeight="1" x14ac:dyDescent="0.3">
      <c r="A50" s="35" t="s">
        <v>487</v>
      </c>
      <c r="B50" s="35" t="s">
        <v>127</v>
      </c>
      <c r="C50" s="36" t="s">
        <v>488</v>
      </c>
      <c r="D50" s="36" t="s">
        <v>489</v>
      </c>
      <c r="E50" s="21" t="s">
        <v>4</v>
      </c>
    </row>
    <row r="51" spans="1:6" ht="50.25" customHeight="1" x14ac:dyDescent="0.3">
      <c r="A51" s="33" t="s">
        <v>490</v>
      </c>
      <c r="B51" s="20" t="s">
        <v>125</v>
      </c>
      <c r="C51" s="21" t="s">
        <v>491</v>
      </c>
      <c r="D51" s="21" t="s">
        <v>492</v>
      </c>
      <c r="E51" s="21" t="s">
        <v>1</v>
      </c>
    </row>
    <row r="52" spans="1:6" ht="50.25" customHeight="1" x14ac:dyDescent="0.3">
      <c r="A52" s="79">
        <v>5</v>
      </c>
      <c r="B52" s="80" t="s">
        <v>312</v>
      </c>
      <c r="C52" s="79" t="s">
        <v>313</v>
      </c>
      <c r="D52" s="79" t="s">
        <v>314</v>
      </c>
      <c r="E52" s="79"/>
    </row>
    <row r="53" spans="1:6" ht="50.25" customHeight="1" x14ac:dyDescent="0.3">
      <c r="A53" s="33" t="s">
        <v>495</v>
      </c>
      <c r="B53" s="20" t="s">
        <v>134</v>
      </c>
      <c r="C53" s="21" t="s">
        <v>496</v>
      </c>
      <c r="D53" s="21" t="s">
        <v>497</v>
      </c>
      <c r="E53" s="21" t="s">
        <v>1</v>
      </c>
    </row>
    <row r="54" spans="1:6" ht="50.25" customHeight="1" x14ac:dyDescent="0.3">
      <c r="A54" s="35" t="s">
        <v>498</v>
      </c>
      <c r="B54" s="35" t="s">
        <v>499</v>
      </c>
      <c r="C54" s="36" t="s">
        <v>500</v>
      </c>
      <c r="D54" s="36" t="s">
        <v>501</v>
      </c>
      <c r="E54" s="21" t="s">
        <v>5</v>
      </c>
    </row>
    <row r="55" spans="1:6" ht="50.25" customHeight="1" x14ac:dyDescent="0.3">
      <c r="A55" s="33" t="s">
        <v>502</v>
      </c>
      <c r="B55" s="20" t="s">
        <v>503</v>
      </c>
      <c r="C55" s="21" t="s">
        <v>504</v>
      </c>
      <c r="D55" s="21" t="s">
        <v>505</v>
      </c>
      <c r="E55" s="57" t="s">
        <v>2</v>
      </c>
    </row>
    <row r="56" spans="1:6" ht="50.25" customHeight="1" x14ac:dyDescent="0.3">
      <c r="A56" s="35" t="s">
        <v>506</v>
      </c>
      <c r="B56" s="35" t="s">
        <v>507</v>
      </c>
      <c r="C56" s="36" t="s">
        <v>508</v>
      </c>
      <c r="D56" s="36" t="s">
        <v>509</v>
      </c>
      <c r="E56" s="21" t="s">
        <v>4</v>
      </c>
    </row>
    <row r="57" spans="1:6" ht="50.25" customHeight="1" x14ac:dyDescent="0.3">
      <c r="A57" s="33" t="s">
        <v>510</v>
      </c>
      <c r="B57" s="20" t="s">
        <v>511</v>
      </c>
      <c r="C57" s="21" t="s">
        <v>512</v>
      </c>
      <c r="D57" s="21" t="s">
        <v>513</v>
      </c>
      <c r="E57" s="21" t="s">
        <v>2</v>
      </c>
    </row>
    <row r="58" spans="1:6" ht="50.25" customHeight="1" x14ac:dyDescent="0.3">
      <c r="A58" s="35" t="s">
        <v>514</v>
      </c>
      <c r="B58" s="35" t="s">
        <v>515</v>
      </c>
      <c r="C58" s="36" t="s">
        <v>516</v>
      </c>
      <c r="D58" s="36" t="s">
        <v>517</v>
      </c>
      <c r="E58" s="21" t="s">
        <v>2</v>
      </c>
    </row>
    <row r="59" spans="1:6" ht="50.25" customHeight="1" x14ac:dyDescent="0.3">
      <c r="A59" s="33" t="s">
        <v>518</v>
      </c>
      <c r="B59" s="20" t="s">
        <v>519</v>
      </c>
      <c r="C59" s="21" t="s">
        <v>520</v>
      </c>
      <c r="D59" s="21" t="s">
        <v>521</v>
      </c>
      <c r="E59" s="21" t="s">
        <v>2</v>
      </c>
    </row>
    <row r="60" spans="1:6" ht="50.25" customHeight="1" x14ac:dyDescent="0.3">
      <c r="A60" s="35" t="s">
        <v>522</v>
      </c>
      <c r="B60" s="35" t="s">
        <v>523</v>
      </c>
      <c r="C60" s="36" t="s">
        <v>524</v>
      </c>
      <c r="D60" s="36" t="s">
        <v>525</v>
      </c>
      <c r="E60" s="21" t="s">
        <v>2</v>
      </c>
    </row>
    <row r="61" spans="1:6" ht="50.25" customHeight="1" x14ac:dyDescent="0.3">
      <c r="A61" s="33" t="s">
        <v>526</v>
      </c>
      <c r="B61" s="20" t="s">
        <v>146</v>
      </c>
      <c r="C61" s="21" t="s">
        <v>527</v>
      </c>
      <c r="D61" s="21" t="s">
        <v>528</v>
      </c>
      <c r="E61" s="21" t="s">
        <v>1</v>
      </c>
    </row>
    <row r="62" spans="1:6" ht="50.25" customHeight="1" x14ac:dyDescent="0.3">
      <c r="A62" s="35" t="s">
        <v>529</v>
      </c>
      <c r="B62" s="35" t="s">
        <v>530</v>
      </c>
      <c r="C62" s="36" t="s">
        <v>531</v>
      </c>
      <c r="D62" s="36" t="s">
        <v>532</v>
      </c>
      <c r="E62" s="21" t="s">
        <v>5</v>
      </c>
    </row>
    <row r="63" spans="1:6" ht="50.25" customHeight="1" x14ac:dyDescent="0.3">
      <c r="A63" s="33" t="s">
        <v>533</v>
      </c>
      <c r="B63" s="20" t="s">
        <v>534</v>
      </c>
      <c r="C63" s="21" t="s">
        <v>535</v>
      </c>
      <c r="D63" s="21" t="s">
        <v>536</v>
      </c>
      <c r="E63" s="21"/>
    </row>
    <row r="64" spans="1:6" ht="50.25" customHeight="1" x14ac:dyDescent="0.3">
      <c r="A64" s="79">
        <v>6</v>
      </c>
      <c r="B64" s="80" t="s">
        <v>315</v>
      </c>
      <c r="C64" s="79" t="s">
        <v>316</v>
      </c>
      <c r="D64" s="79" t="s">
        <v>317</v>
      </c>
      <c r="E64" s="79"/>
      <c r="F64" s="82" t="s">
        <v>539</v>
      </c>
    </row>
    <row r="65" spans="1:6" ht="50.25" customHeight="1" x14ac:dyDescent="0.3">
      <c r="A65" s="68" t="s">
        <v>540</v>
      </c>
      <c r="B65" s="69" t="s">
        <v>49</v>
      </c>
      <c r="C65" s="70" t="s">
        <v>541</v>
      </c>
      <c r="D65" s="70" t="s">
        <v>543</v>
      </c>
      <c r="E65" s="21" t="s">
        <v>1</v>
      </c>
      <c r="F65" s="71" t="s">
        <v>542</v>
      </c>
    </row>
    <row r="66" spans="1:6" ht="50.25" customHeight="1" x14ac:dyDescent="0.3">
      <c r="A66" s="72" t="s">
        <v>544</v>
      </c>
      <c r="B66" s="73" t="s">
        <v>545</v>
      </c>
      <c r="C66" s="74" t="s">
        <v>546</v>
      </c>
      <c r="D66" s="74" t="s">
        <v>548</v>
      </c>
      <c r="E66" s="21" t="s">
        <v>5</v>
      </c>
      <c r="F66" s="75" t="s">
        <v>547</v>
      </c>
    </row>
    <row r="67" spans="1:6" ht="50.25" customHeight="1" x14ac:dyDescent="0.3">
      <c r="A67" s="68" t="s">
        <v>549</v>
      </c>
      <c r="B67" s="69" t="s">
        <v>550</v>
      </c>
      <c r="C67" s="70" t="s">
        <v>551</v>
      </c>
      <c r="D67" s="70" t="s">
        <v>553</v>
      </c>
      <c r="E67" s="57" t="s">
        <v>2</v>
      </c>
      <c r="F67" s="71" t="s">
        <v>552</v>
      </c>
    </row>
    <row r="68" spans="1:6" ht="50.25" customHeight="1" x14ac:dyDescent="0.3">
      <c r="A68" s="72" t="s">
        <v>554</v>
      </c>
      <c r="B68" s="73" t="s">
        <v>555</v>
      </c>
      <c r="C68" s="74" t="s">
        <v>556</v>
      </c>
      <c r="D68" s="74" t="s">
        <v>557</v>
      </c>
      <c r="E68" s="21" t="s">
        <v>4</v>
      </c>
      <c r="F68" s="75"/>
    </row>
    <row r="69" spans="1:6" ht="50.25" customHeight="1" x14ac:dyDescent="0.3">
      <c r="A69" s="68" t="s">
        <v>558</v>
      </c>
      <c r="B69" s="69" t="s">
        <v>559</v>
      </c>
      <c r="C69" s="70" t="s">
        <v>560</v>
      </c>
      <c r="D69" s="70" t="s">
        <v>561</v>
      </c>
      <c r="E69" s="21" t="s">
        <v>2</v>
      </c>
      <c r="F69" s="71"/>
    </row>
    <row r="70" spans="1:6" ht="50.25" customHeight="1" x14ac:dyDescent="0.3">
      <c r="A70" s="72" t="s">
        <v>562</v>
      </c>
      <c r="B70" s="73" t="s">
        <v>563</v>
      </c>
      <c r="C70" s="74" t="s">
        <v>564</v>
      </c>
      <c r="D70" s="74" t="s">
        <v>566</v>
      </c>
      <c r="E70" s="21" t="s">
        <v>2</v>
      </c>
      <c r="F70" s="75" t="s">
        <v>565</v>
      </c>
    </row>
    <row r="71" spans="1:6" ht="50.25" customHeight="1" x14ac:dyDescent="0.3">
      <c r="A71" s="68" t="s">
        <v>567</v>
      </c>
      <c r="B71" s="69" t="s">
        <v>568</v>
      </c>
      <c r="C71" s="70" t="s">
        <v>569</v>
      </c>
      <c r="D71" s="70" t="s">
        <v>571</v>
      </c>
      <c r="E71" s="21" t="s">
        <v>2</v>
      </c>
      <c r="F71" s="71" t="s">
        <v>570</v>
      </c>
    </row>
    <row r="72" spans="1:6" ht="50.25" customHeight="1" x14ac:dyDescent="0.3">
      <c r="A72" s="72" t="s">
        <v>572</v>
      </c>
      <c r="B72" s="73" t="s">
        <v>573</v>
      </c>
      <c r="C72" s="74" t="s">
        <v>574</v>
      </c>
      <c r="D72" s="74" t="s">
        <v>576</v>
      </c>
      <c r="E72" s="21" t="s">
        <v>2</v>
      </c>
      <c r="F72" s="75" t="s">
        <v>575</v>
      </c>
    </row>
    <row r="73" spans="1:6" ht="50.25" customHeight="1" x14ac:dyDescent="0.3">
      <c r="A73" s="68" t="s">
        <v>577</v>
      </c>
      <c r="B73" s="69" t="s">
        <v>578</v>
      </c>
      <c r="C73" s="70" t="s">
        <v>579</v>
      </c>
      <c r="D73" s="70" t="s">
        <v>580</v>
      </c>
      <c r="E73" s="21" t="s">
        <v>1</v>
      </c>
      <c r="F73" s="71"/>
    </row>
    <row r="74" spans="1:6" ht="50.25" customHeight="1" x14ac:dyDescent="0.3">
      <c r="A74" s="72" t="s">
        <v>581</v>
      </c>
      <c r="B74" s="73" t="s">
        <v>582</v>
      </c>
      <c r="C74" s="74" t="s">
        <v>583</v>
      </c>
      <c r="D74" s="74" t="s">
        <v>584</v>
      </c>
      <c r="E74" s="21" t="s">
        <v>2</v>
      </c>
      <c r="F74" s="75"/>
    </row>
    <row r="75" spans="1:6" ht="50.25" customHeight="1" x14ac:dyDescent="0.3">
      <c r="A75" s="68" t="s">
        <v>585</v>
      </c>
      <c r="B75" s="69" t="s">
        <v>80</v>
      </c>
      <c r="C75" s="70" t="s">
        <v>586</v>
      </c>
      <c r="D75" s="70" t="s">
        <v>588</v>
      </c>
      <c r="E75" s="21" t="s">
        <v>4</v>
      </c>
      <c r="F75" s="71" t="s">
        <v>587</v>
      </c>
    </row>
    <row r="76" spans="1:6" ht="50.25" customHeight="1" x14ac:dyDescent="0.3">
      <c r="A76" s="72" t="s">
        <v>589</v>
      </c>
      <c r="B76" s="73" t="s">
        <v>86</v>
      </c>
      <c r="C76" s="74" t="s">
        <v>590</v>
      </c>
      <c r="D76" s="74" t="s">
        <v>592</v>
      </c>
      <c r="E76" s="21" t="s">
        <v>4</v>
      </c>
      <c r="F76" s="75" t="s">
        <v>591</v>
      </c>
    </row>
    <row r="77" spans="1:6" ht="50.25" customHeight="1" x14ac:dyDescent="0.3">
      <c r="A77" s="68" t="s">
        <v>593</v>
      </c>
      <c r="B77" s="69" t="s">
        <v>594</v>
      </c>
      <c r="C77" s="70" t="s">
        <v>595</v>
      </c>
      <c r="D77" s="70" t="s">
        <v>596</v>
      </c>
      <c r="E77" s="21" t="s">
        <v>2</v>
      </c>
      <c r="F77" s="71"/>
    </row>
    <row r="78" spans="1:6" ht="50.25" customHeight="1" x14ac:dyDescent="0.3">
      <c r="A78" s="72" t="s">
        <v>597</v>
      </c>
      <c r="B78" s="73" t="s">
        <v>598</v>
      </c>
      <c r="C78" s="74" t="s">
        <v>599</v>
      </c>
      <c r="D78" s="74" t="s">
        <v>600</v>
      </c>
      <c r="E78" s="21" t="s">
        <v>1</v>
      </c>
      <c r="F78" s="75"/>
    </row>
    <row r="79" spans="1:6" ht="50.25" customHeight="1" x14ac:dyDescent="0.3">
      <c r="A79" s="68" t="s">
        <v>601</v>
      </c>
      <c r="B79" s="69" t="s">
        <v>602</v>
      </c>
      <c r="C79" s="70" t="s">
        <v>603</v>
      </c>
      <c r="D79" s="70" t="s">
        <v>604</v>
      </c>
      <c r="E79" s="21" t="s">
        <v>4</v>
      </c>
      <c r="F79" s="71"/>
    </row>
    <row r="80" spans="1:6" ht="50.25" customHeight="1" x14ac:dyDescent="0.3">
      <c r="A80" s="79">
        <v>7</v>
      </c>
      <c r="B80" s="80" t="s">
        <v>318</v>
      </c>
      <c r="C80" s="79" t="s">
        <v>319</v>
      </c>
      <c r="D80" s="79" t="s">
        <v>320</v>
      </c>
      <c r="E80" s="79"/>
    </row>
    <row r="81" spans="1:5" ht="50.25" customHeight="1" x14ac:dyDescent="0.3">
      <c r="A81" s="33" t="s">
        <v>608</v>
      </c>
      <c r="B81" s="20" t="s">
        <v>178</v>
      </c>
      <c r="C81" s="21" t="s">
        <v>609</v>
      </c>
      <c r="D81" s="21" t="s">
        <v>610</v>
      </c>
      <c r="E81" s="21" t="s">
        <v>3</v>
      </c>
    </row>
    <row r="82" spans="1:5" ht="50.25" customHeight="1" x14ac:dyDescent="0.3">
      <c r="A82" s="35" t="s">
        <v>611</v>
      </c>
      <c r="B82" s="35" t="s">
        <v>184</v>
      </c>
      <c r="C82" s="36" t="s">
        <v>612</v>
      </c>
      <c r="D82" s="36" t="s">
        <v>613</v>
      </c>
      <c r="E82" s="21" t="s">
        <v>4</v>
      </c>
    </row>
    <row r="83" spans="1:5" ht="50.25" customHeight="1" x14ac:dyDescent="0.3">
      <c r="A83" s="33" t="s">
        <v>614</v>
      </c>
      <c r="B83" s="20" t="s">
        <v>189</v>
      </c>
      <c r="C83" s="21" t="s">
        <v>615</v>
      </c>
      <c r="D83" s="21" t="s">
        <v>616</v>
      </c>
      <c r="E83" s="21" t="s">
        <v>2</v>
      </c>
    </row>
    <row r="84" spans="1:5" ht="50.25" customHeight="1" x14ac:dyDescent="0.3">
      <c r="A84" s="35" t="s">
        <v>617</v>
      </c>
      <c r="B84" s="35" t="s">
        <v>618</v>
      </c>
      <c r="C84" s="36" t="s">
        <v>619</v>
      </c>
      <c r="D84" s="36" t="s">
        <v>620</v>
      </c>
      <c r="E84" s="21" t="s">
        <v>5</v>
      </c>
    </row>
    <row r="85" spans="1:5" ht="50.25" customHeight="1" x14ac:dyDescent="0.3">
      <c r="A85" s="33" t="s">
        <v>621</v>
      </c>
      <c r="B85" s="20" t="s">
        <v>622</v>
      </c>
      <c r="C85" s="21" t="s">
        <v>623</v>
      </c>
      <c r="D85" s="21" t="s">
        <v>624</v>
      </c>
      <c r="E85" s="21" t="s">
        <v>5</v>
      </c>
    </row>
    <row r="86" spans="1:5" ht="50.25" customHeight="1" x14ac:dyDescent="0.3">
      <c r="A86" s="35" t="s">
        <v>625</v>
      </c>
      <c r="B86" s="35" t="s">
        <v>626</v>
      </c>
      <c r="C86" s="36" t="s">
        <v>627</v>
      </c>
      <c r="D86" s="36" t="s">
        <v>628</v>
      </c>
      <c r="E86" s="21" t="s">
        <v>5</v>
      </c>
    </row>
    <row r="87" spans="1:5" ht="50.25" customHeight="1" x14ac:dyDescent="0.3">
      <c r="A87" s="33" t="s">
        <v>629</v>
      </c>
      <c r="B87" s="20" t="s">
        <v>630</v>
      </c>
      <c r="C87" s="21" t="s">
        <v>631</v>
      </c>
      <c r="D87" s="21" t="s">
        <v>632</v>
      </c>
      <c r="E87" s="21" t="s">
        <v>3</v>
      </c>
    </row>
    <row r="88" spans="1:5" ht="50.25" customHeight="1" x14ac:dyDescent="0.3">
      <c r="A88" s="35" t="s">
        <v>633</v>
      </c>
      <c r="B88" s="35" t="s">
        <v>634</v>
      </c>
      <c r="C88" s="36" t="s">
        <v>635</v>
      </c>
      <c r="D88" s="36" t="s">
        <v>636</v>
      </c>
      <c r="E88" s="21" t="s">
        <v>5</v>
      </c>
    </row>
    <row r="89" spans="1:5" ht="50.25" customHeight="1" x14ac:dyDescent="0.3">
      <c r="A89" s="33" t="s">
        <v>637</v>
      </c>
      <c r="B89" s="20" t="s">
        <v>638</v>
      </c>
      <c r="C89" s="21" t="s">
        <v>635</v>
      </c>
      <c r="D89" s="21" t="s">
        <v>639</v>
      </c>
      <c r="E89" s="21" t="s">
        <v>5</v>
      </c>
    </row>
    <row r="90" spans="1:5" ht="50.25" customHeight="1" x14ac:dyDescent="0.3">
      <c r="A90" s="35" t="s">
        <v>640</v>
      </c>
      <c r="B90" s="35" t="s">
        <v>641</v>
      </c>
      <c r="C90" s="36" t="s">
        <v>635</v>
      </c>
      <c r="D90" s="36" t="s">
        <v>642</v>
      </c>
      <c r="E90" s="21" t="s">
        <v>5</v>
      </c>
    </row>
    <row r="91" spans="1:5" ht="50.25" customHeight="1" x14ac:dyDescent="0.3">
      <c r="A91" s="33" t="s">
        <v>643</v>
      </c>
      <c r="B91" s="20" t="s">
        <v>644</v>
      </c>
      <c r="C91" s="21" t="s">
        <v>645</v>
      </c>
      <c r="D91" s="21" t="s">
        <v>646</v>
      </c>
      <c r="E91" s="21" t="s">
        <v>3</v>
      </c>
    </row>
    <row r="92" spans="1:5" ht="50.25" customHeight="1" x14ac:dyDescent="0.3">
      <c r="A92" s="35" t="s">
        <v>647</v>
      </c>
      <c r="B92" s="35" t="s">
        <v>648</v>
      </c>
      <c r="C92" s="36" t="s">
        <v>649</v>
      </c>
      <c r="D92" s="36" t="s">
        <v>650</v>
      </c>
      <c r="E92" s="21" t="s">
        <v>3</v>
      </c>
    </row>
    <row r="93" spans="1:5" ht="50.25" customHeight="1" x14ac:dyDescent="0.3">
      <c r="A93" s="33" t="s">
        <v>651</v>
      </c>
      <c r="B93" s="20" t="s">
        <v>652</v>
      </c>
      <c r="C93" s="21" t="s">
        <v>653</v>
      </c>
      <c r="D93" s="21" t="s">
        <v>654</v>
      </c>
      <c r="E93" s="21" t="s">
        <v>5</v>
      </c>
    </row>
    <row r="94" spans="1:5" ht="50.25" customHeight="1" x14ac:dyDescent="0.3">
      <c r="A94" s="35" t="s">
        <v>655</v>
      </c>
      <c r="B94" s="35" t="s">
        <v>656</v>
      </c>
      <c r="C94" s="36" t="s">
        <v>657</v>
      </c>
      <c r="D94" s="36" t="s">
        <v>658</v>
      </c>
      <c r="E94" s="21" t="s">
        <v>5</v>
      </c>
    </row>
    <row r="95" spans="1:5" ht="50.25" customHeight="1" x14ac:dyDescent="0.3">
      <c r="A95" s="79">
        <v>8</v>
      </c>
      <c r="B95" s="80" t="s">
        <v>321</v>
      </c>
      <c r="C95" s="79" t="s">
        <v>322</v>
      </c>
      <c r="D95" s="79" t="s">
        <v>323</v>
      </c>
      <c r="E95" s="79"/>
    </row>
    <row r="96" spans="1:5" ht="50.25" customHeight="1" x14ac:dyDescent="0.3">
      <c r="A96" s="33" t="s">
        <v>661</v>
      </c>
      <c r="B96" s="20" t="s">
        <v>662</v>
      </c>
      <c r="C96" s="21" t="s">
        <v>663</v>
      </c>
      <c r="D96" s="21" t="s">
        <v>664</v>
      </c>
      <c r="E96" s="21" t="s">
        <v>5</v>
      </c>
    </row>
    <row r="97" spans="1:5" ht="50.25" customHeight="1" x14ac:dyDescent="0.3">
      <c r="A97" s="35" t="s">
        <v>665</v>
      </c>
      <c r="B97" s="35" t="s">
        <v>666</v>
      </c>
      <c r="C97" s="36" t="s">
        <v>667</v>
      </c>
      <c r="D97" s="36" t="s">
        <v>668</v>
      </c>
      <c r="E97" s="21" t="s">
        <v>5</v>
      </c>
    </row>
    <row r="98" spans="1:5" ht="50.25" customHeight="1" x14ac:dyDescent="0.3">
      <c r="A98" s="33" t="s">
        <v>669</v>
      </c>
      <c r="B98" s="20" t="s">
        <v>670</v>
      </c>
      <c r="C98" s="21" t="s">
        <v>671</v>
      </c>
      <c r="D98" s="21" t="s">
        <v>672</v>
      </c>
      <c r="E98" s="21" t="s">
        <v>5</v>
      </c>
    </row>
    <row r="100" spans="1:5" ht="50.25" customHeight="1" x14ac:dyDescent="0.3">
      <c r="A100" s="136" t="s">
        <v>324</v>
      </c>
      <c r="B100" s="136"/>
      <c r="C100" s="136"/>
      <c r="D100" s="136"/>
      <c r="E100" s="136"/>
    </row>
    <row r="101" spans="1:5" ht="50.25" customHeight="1" x14ac:dyDescent="0.3">
      <c r="A101" s="136"/>
      <c r="B101" s="136"/>
      <c r="C101" s="136"/>
      <c r="D101" s="136"/>
      <c r="E101" s="136"/>
    </row>
  </sheetData>
  <autoFilter ref="E1:E101" xr:uid="{00000000-0009-0000-0000-00000E000000}"/>
  <mergeCells count="3">
    <mergeCell ref="A1:E1"/>
    <mergeCell ref="A2:E2"/>
    <mergeCell ref="A100:E101"/>
  </mergeCells>
  <dataValidations count="3">
    <dataValidation type="list" allowBlank="1" showInputMessage="1" showErrorMessage="1" sqref="G2:G6" xr:uid="{00000000-0002-0000-0E00-000000000000}">
      <formula1>RelevanzListe</formula1>
      <formula2>0</formula2>
    </dataValidation>
    <dataValidation type="list" allowBlank="1" showInputMessage="1" showErrorMessage="1" sqref="E4:E73 E77:E78 E80:E98" xr:uid="{00000000-0002-0000-0E00-000001000000}">
      <formula1>$G$2:$G$7</formula1>
      <formula2>0</formula2>
    </dataValidation>
    <dataValidation type="list" allowBlank="1" showInputMessage="1" showErrorMessage="1" sqref="E74:E76 E79" xr:uid="{00000000-0002-0000-0E00-000002000000}">
      <formula1>$H$2:$H$7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I57"/>
  <sheetViews>
    <sheetView zoomScaleNormal="100" workbookViewId="0">
      <pane ySplit="5" topLeftCell="A6" activePane="bottomLeft" state="frozen"/>
      <selection pane="bottomLeft" activeCell="C51" sqref="C51"/>
    </sheetView>
  </sheetViews>
  <sheetFormatPr baseColWidth="10" defaultColWidth="8.6640625" defaultRowHeight="14.4" x14ac:dyDescent="0.3"/>
  <cols>
    <col min="1" max="1" width="7" style="23" customWidth="1"/>
    <col min="2" max="2" width="46.109375" style="23" customWidth="1"/>
    <col min="3" max="3" width="46" style="23" customWidth="1"/>
    <col min="4" max="4" width="18" style="23" customWidth="1"/>
    <col min="5" max="5" width="12" style="23" customWidth="1"/>
    <col min="6" max="6" width="34" style="23" customWidth="1"/>
    <col min="7" max="8" width="8.6640625" style="23"/>
    <col min="9" max="9" width="19.21875" style="23" customWidth="1"/>
    <col min="10" max="16384" width="8.6640625" style="23"/>
  </cols>
  <sheetData>
    <row r="1" spans="1:9" ht="42" customHeight="1" x14ac:dyDescent="0.3">
      <c r="A1" s="138" t="s">
        <v>675</v>
      </c>
      <c r="B1" s="138"/>
      <c r="C1" s="138"/>
      <c r="D1" s="138"/>
      <c r="E1" s="138"/>
      <c r="F1" s="138"/>
    </row>
    <row r="2" spans="1:9" ht="30" customHeight="1" x14ac:dyDescent="0.3">
      <c r="A2" s="139" t="s">
        <v>676</v>
      </c>
      <c r="B2" s="139"/>
      <c r="C2" s="84"/>
      <c r="D2" s="83" t="s">
        <v>677</v>
      </c>
      <c r="E2" s="85" t="s">
        <v>6</v>
      </c>
      <c r="F2" s="84"/>
      <c r="I2" s="86" t="s">
        <v>678</v>
      </c>
    </row>
    <row r="3" spans="1:9" ht="30" customHeight="1" x14ac:dyDescent="0.3">
      <c r="A3" s="140" t="s">
        <v>679</v>
      </c>
      <c r="B3" s="140"/>
      <c r="C3" s="140"/>
      <c r="D3" s="140"/>
      <c r="E3" s="140"/>
      <c r="F3" s="140"/>
      <c r="I3" s="86" t="s">
        <v>680</v>
      </c>
    </row>
    <row r="4" spans="1:9" ht="30" customHeight="1" x14ac:dyDescent="0.3">
      <c r="A4" s="87"/>
      <c r="B4" s="87"/>
      <c r="C4" s="87"/>
      <c r="D4" s="87"/>
      <c r="E4" s="87"/>
      <c r="F4" s="87"/>
      <c r="I4" s="88" t="s">
        <v>681</v>
      </c>
    </row>
    <row r="5" spans="1:9" ht="42" customHeight="1" x14ac:dyDescent="0.3">
      <c r="A5" s="89" t="s">
        <v>296</v>
      </c>
      <c r="B5" s="90" t="s">
        <v>682</v>
      </c>
      <c r="C5" s="91" t="s">
        <v>683</v>
      </c>
      <c r="D5" s="91" t="s">
        <v>684</v>
      </c>
      <c r="E5" s="91" t="s">
        <v>685</v>
      </c>
      <c r="F5" s="92" t="s">
        <v>686</v>
      </c>
      <c r="I5" s="86" t="s">
        <v>687</v>
      </c>
    </row>
    <row r="6" spans="1:9" ht="42" customHeight="1" x14ac:dyDescent="0.3">
      <c r="A6" s="93"/>
      <c r="B6" s="94"/>
      <c r="C6" s="94"/>
      <c r="D6" s="95"/>
      <c r="E6" s="95"/>
      <c r="F6" s="96"/>
    </row>
    <row r="7" spans="1:9" ht="42" customHeight="1" x14ac:dyDescent="0.3">
      <c r="A7" s="141" t="s">
        <v>688</v>
      </c>
      <c r="B7" s="141"/>
      <c r="C7" s="141"/>
      <c r="D7" s="141"/>
      <c r="E7" s="141"/>
      <c r="F7" s="141"/>
    </row>
    <row r="8" spans="1:9" ht="42" customHeight="1" x14ac:dyDescent="0.3">
      <c r="A8" s="97" t="s">
        <v>360</v>
      </c>
      <c r="B8" s="98" t="s">
        <v>39</v>
      </c>
      <c r="C8" s="99" t="s">
        <v>689</v>
      </c>
      <c r="D8" s="100" t="s">
        <v>680</v>
      </c>
      <c r="E8" s="101">
        <f>IF(D8="erfüllt",2,IF(D8="teilweise",1,IF(D8="nicht erfüllt",0,"")))</f>
        <v>1</v>
      </c>
      <c r="F8" s="102"/>
    </row>
    <row r="9" spans="1:9" ht="42" customHeight="1" x14ac:dyDescent="0.3">
      <c r="A9" s="103" t="s">
        <v>367</v>
      </c>
      <c r="B9" s="104" t="s">
        <v>690</v>
      </c>
      <c r="C9" s="19" t="s">
        <v>6</v>
      </c>
      <c r="D9" s="100" t="s">
        <v>678</v>
      </c>
      <c r="E9" s="101">
        <f>IF(D9="erfüllt",2,IF(D9="teilweise",1,IF(D9="nicht erfüllt",0,"")))</f>
        <v>2</v>
      </c>
      <c r="F9" s="105"/>
    </row>
    <row r="10" spans="1:9" ht="42" customHeight="1" x14ac:dyDescent="0.3">
      <c r="A10" s="97" t="s">
        <v>371</v>
      </c>
      <c r="B10" s="98" t="s">
        <v>34</v>
      </c>
      <c r="C10" s="99" t="s">
        <v>34</v>
      </c>
      <c r="D10" s="100"/>
      <c r="E10" s="101" t="str">
        <f>IF(D10="erfüllt",2,IF(D10="teilweise",1,IF(D10="nicht erfüllt",0,"")))</f>
        <v/>
      </c>
      <c r="F10" s="102"/>
    </row>
    <row r="11" spans="1:9" ht="14.25" customHeight="1" x14ac:dyDescent="0.3">
      <c r="A11" s="103" t="s">
        <v>378</v>
      </c>
      <c r="B11" s="104" t="s">
        <v>17</v>
      </c>
      <c r="C11" s="19" t="s">
        <v>691</v>
      </c>
      <c r="D11" s="100"/>
      <c r="E11" s="101" t="str">
        <f>IF(D11="erfüllt",2,IF(D11="teilweise",1,IF(D11="nicht erfüllt",0,"")))</f>
        <v/>
      </c>
      <c r="F11" s="105"/>
    </row>
    <row r="12" spans="1:9" ht="42" customHeight="1" x14ac:dyDescent="0.3">
      <c r="A12" s="106"/>
      <c r="B12" s="107" t="s">
        <v>692</v>
      </c>
      <c r="C12" s="108" t="s">
        <v>693</v>
      </c>
      <c r="D12" s="109"/>
      <c r="E12" s="110">
        <f>IF(COUNT(E8:E11)=0,"–",SUM(E8:E11)/(2*COUNT(E8:E11)))</f>
        <v>0.75</v>
      </c>
      <c r="F12" s="111"/>
    </row>
    <row r="13" spans="1:9" ht="42" customHeight="1" x14ac:dyDescent="0.3">
      <c r="A13" s="112"/>
      <c r="B13" s="113"/>
      <c r="C13" s="114"/>
      <c r="D13" s="115"/>
      <c r="E13" s="116"/>
      <c r="F13" s="117"/>
    </row>
    <row r="14" spans="1:9" ht="42" customHeight="1" x14ac:dyDescent="0.3">
      <c r="A14" s="141" t="s">
        <v>694</v>
      </c>
      <c r="B14" s="141"/>
      <c r="C14" s="141"/>
      <c r="D14" s="141"/>
      <c r="E14" s="141"/>
      <c r="F14" s="141"/>
    </row>
    <row r="15" spans="1:9" ht="42" customHeight="1" x14ac:dyDescent="0.3">
      <c r="A15" s="97" t="s">
        <v>695</v>
      </c>
      <c r="B15" s="98" t="s">
        <v>696</v>
      </c>
      <c r="C15" s="99" t="s">
        <v>697</v>
      </c>
      <c r="D15" s="100"/>
      <c r="E15" s="101" t="str">
        <f t="shared" ref="E15:E27" si="0">IF(D15="erfüllt",2,IF(D15="teilweise",1,IF(D15="nicht erfüllt",0,"")))</f>
        <v/>
      </c>
      <c r="F15" s="102"/>
    </row>
    <row r="16" spans="1:9" ht="42" customHeight="1" x14ac:dyDescent="0.3">
      <c r="A16" s="103" t="s">
        <v>698</v>
      </c>
      <c r="B16" s="104" t="s">
        <v>699</v>
      </c>
      <c r="C16" s="19" t="s">
        <v>700</v>
      </c>
      <c r="D16" s="100"/>
      <c r="E16" s="101" t="str">
        <f t="shared" si="0"/>
        <v/>
      </c>
      <c r="F16" s="105"/>
    </row>
    <row r="17" spans="1:6" ht="42" customHeight="1" x14ac:dyDescent="0.3">
      <c r="A17" s="97" t="s">
        <v>449</v>
      </c>
      <c r="B17" s="98" t="s">
        <v>43</v>
      </c>
      <c r="C17" s="99" t="s">
        <v>43</v>
      </c>
      <c r="D17" s="100"/>
      <c r="E17" s="101" t="str">
        <f t="shared" si="0"/>
        <v/>
      </c>
      <c r="F17" s="102"/>
    </row>
    <row r="18" spans="1:6" ht="42" customHeight="1" x14ac:dyDescent="0.3">
      <c r="A18" s="103" t="s">
        <v>540</v>
      </c>
      <c r="B18" s="104" t="s">
        <v>49</v>
      </c>
      <c r="C18" s="19" t="s">
        <v>49</v>
      </c>
      <c r="D18" s="100"/>
      <c r="E18" s="101" t="str">
        <f t="shared" si="0"/>
        <v/>
      </c>
      <c r="F18" s="105"/>
    </row>
    <row r="19" spans="1:6" ht="42" customHeight="1" x14ac:dyDescent="0.3">
      <c r="A19" s="97" t="s">
        <v>544</v>
      </c>
      <c r="B19" s="98" t="s">
        <v>545</v>
      </c>
      <c r="C19" s="99" t="s">
        <v>546</v>
      </c>
      <c r="D19" s="100"/>
      <c r="E19" s="101" t="str">
        <f t="shared" si="0"/>
        <v/>
      </c>
      <c r="F19" s="102"/>
    </row>
    <row r="20" spans="1:6" ht="42" customHeight="1" x14ac:dyDescent="0.3">
      <c r="A20" s="103" t="s">
        <v>549</v>
      </c>
      <c r="B20" s="104" t="s">
        <v>550</v>
      </c>
      <c r="C20" s="19" t="s">
        <v>54</v>
      </c>
      <c r="D20" s="100"/>
      <c r="E20" s="101" t="str">
        <f t="shared" si="0"/>
        <v/>
      </c>
      <c r="F20" s="105"/>
    </row>
    <row r="21" spans="1:6" ht="42" customHeight="1" x14ac:dyDescent="0.3">
      <c r="A21" s="97" t="s">
        <v>562</v>
      </c>
      <c r="B21" s="98" t="s">
        <v>563</v>
      </c>
      <c r="C21" s="99" t="s">
        <v>59</v>
      </c>
      <c r="D21" s="100"/>
      <c r="E21" s="101" t="str">
        <f t="shared" si="0"/>
        <v/>
      </c>
      <c r="F21" s="102"/>
    </row>
    <row r="22" spans="1:6" ht="42" customHeight="1" x14ac:dyDescent="0.3">
      <c r="A22" s="103" t="s">
        <v>567</v>
      </c>
      <c r="B22" s="104" t="s">
        <v>568</v>
      </c>
      <c r="C22" s="19" t="s">
        <v>63</v>
      </c>
      <c r="D22" s="100"/>
      <c r="E22" s="101" t="str">
        <f t="shared" si="0"/>
        <v/>
      </c>
      <c r="F22" s="105"/>
    </row>
    <row r="23" spans="1:6" ht="42" customHeight="1" x14ac:dyDescent="0.3">
      <c r="A23" s="97" t="s">
        <v>572</v>
      </c>
      <c r="B23" s="98" t="s">
        <v>573</v>
      </c>
      <c r="C23" s="99" t="s">
        <v>68</v>
      </c>
      <c r="D23" s="100"/>
      <c r="E23" s="101" t="str">
        <f t="shared" si="0"/>
        <v/>
      </c>
      <c r="F23" s="102"/>
    </row>
    <row r="24" spans="1:6" ht="42" customHeight="1" x14ac:dyDescent="0.3">
      <c r="A24" s="103" t="s">
        <v>577</v>
      </c>
      <c r="B24" s="104" t="s">
        <v>578</v>
      </c>
      <c r="C24" s="19" t="s">
        <v>76</v>
      </c>
      <c r="D24" s="100"/>
      <c r="E24" s="101" t="str">
        <f t="shared" si="0"/>
        <v/>
      </c>
      <c r="F24" s="105"/>
    </row>
    <row r="25" spans="1:6" ht="42" customHeight="1" x14ac:dyDescent="0.3">
      <c r="A25" s="97" t="s">
        <v>585</v>
      </c>
      <c r="B25" s="98" t="s">
        <v>80</v>
      </c>
      <c r="C25" s="99" t="s">
        <v>80</v>
      </c>
      <c r="D25" s="100"/>
      <c r="E25" s="101" t="str">
        <f t="shared" si="0"/>
        <v/>
      </c>
      <c r="F25" s="102"/>
    </row>
    <row r="26" spans="1:6" ht="42" customHeight="1" x14ac:dyDescent="0.3">
      <c r="A26" s="103" t="s">
        <v>589</v>
      </c>
      <c r="B26" s="104" t="s">
        <v>86</v>
      </c>
      <c r="C26" s="19" t="s">
        <v>86</v>
      </c>
      <c r="D26" s="100"/>
      <c r="E26" s="101" t="str">
        <f t="shared" si="0"/>
        <v/>
      </c>
      <c r="F26" s="105"/>
    </row>
    <row r="27" spans="1:6" ht="42" customHeight="1" x14ac:dyDescent="0.3">
      <c r="A27" s="97" t="s">
        <v>597</v>
      </c>
      <c r="B27" s="98" t="s">
        <v>598</v>
      </c>
      <c r="C27" s="99" t="s">
        <v>94</v>
      </c>
      <c r="D27" s="100"/>
      <c r="E27" s="101" t="str">
        <f t="shared" si="0"/>
        <v/>
      </c>
      <c r="F27" s="102"/>
    </row>
    <row r="28" spans="1:6" ht="42" customHeight="1" x14ac:dyDescent="0.3">
      <c r="A28" s="106"/>
      <c r="B28" s="107" t="s">
        <v>701</v>
      </c>
      <c r="C28" s="118" t="s">
        <v>693</v>
      </c>
      <c r="D28" s="119"/>
      <c r="E28" s="120" t="str">
        <f>IF(COUNT(E15:E27)=0,"–",SUM(E15:E27)/(2*COUNT(E15:E27)))</f>
        <v>–</v>
      </c>
      <c r="F28" s="121"/>
    </row>
    <row r="29" spans="1:6" ht="42" customHeight="1" x14ac:dyDescent="0.3">
      <c r="A29" s="112"/>
      <c r="B29" s="113"/>
      <c r="C29" s="114"/>
      <c r="D29" s="115"/>
      <c r="E29" s="116"/>
      <c r="F29" s="117"/>
    </row>
    <row r="30" spans="1:6" ht="42" customHeight="1" x14ac:dyDescent="0.3">
      <c r="A30" s="141" t="s">
        <v>702</v>
      </c>
      <c r="B30" s="141"/>
      <c r="C30" s="141"/>
      <c r="D30" s="141"/>
      <c r="E30" s="141"/>
      <c r="F30" s="141"/>
    </row>
    <row r="31" spans="1:6" ht="42" customHeight="1" x14ac:dyDescent="0.3">
      <c r="A31" s="97" t="s">
        <v>386</v>
      </c>
      <c r="B31" s="98" t="s">
        <v>97</v>
      </c>
      <c r="C31" s="99" t="s">
        <v>97</v>
      </c>
      <c r="D31" s="100"/>
      <c r="E31" s="101" t="str">
        <f t="shared" ref="E31:E38" si="1">IF(D31="erfüllt",2,IF(D31="teilweise",1,IF(D31="nicht erfüllt",0,"")))</f>
        <v/>
      </c>
      <c r="F31" s="102"/>
    </row>
    <row r="32" spans="1:6" ht="42" customHeight="1" x14ac:dyDescent="0.3">
      <c r="A32" s="103" t="s">
        <v>409</v>
      </c>
      <c r="B32" s="104" t="s">
        <v>107</v>
      </c>
      <c r="C32" s="19" t="s">
        <v>410</v>
      </c>
      <c r="D32" s="100"/>
      <c r="E32" s="101" t="str">
        <f t="shared" si="1"/>
        <v/>
      </c>
      <c r="F32" s="105"/>
    </row>
    <row r="33" spans="1:6" ht="42" customHeight="1" x14ac:dyDescent="0.3">
      <c r="A33" s="97" t="s">
        <v>416</v>
      </c>
      <c r="B33" s="98" t="s">
        <v>112</v>
      </c>
      <c r="C33" s="99" t="s">
        <v>112</v>
      </c>
      <c r="D33" s="100"/>
      <c r="E33" s="101" t="str">
        <f t="shared" si="1"/>
        <v/>
      </c>
      <c r="F33" s="102"/>
    </row>
    <row r="34" spans="1:6" ht="42" customHeight="1" x14ac:dyDescent="0.3">
      <c r="A34" s="103" t="s">
        <v>437</v>
      </c>
      <c r="B34" s="104" t="s">
        <v>438</v>
      </c>
      <c r="C34" s="19" t="s">
        <v>118</v>
      </c>
      <c r="D34" s="100"/>
      <c r="E34" s="101" t="str">
        <f t="shared" si="1"/>
        <v/>
      </c>
      <c r="F34" s="105"/>
    </row>
    <row r="35" spans="1:6" ht="42" customHeight="1" x14ac:dyDescent="0.3">
      <c r="A35" s="97" t="s">
        <v>464</v>
      </c>
      <c r="B35" s="98" t="s">
        <v>123</v>
      </c>
      <c r="C35" s="99" t="s">
        <v>123</v>
      </c>
      <c r="D35" s="100"/>
      <c r="E35" s="101" t="str">
        <f t="shared" si="1"/>
        <v/>
      </c>
      <c r="F35" s="102"/>
    </row>
    <row r="36" spans="1:6" ht="42" customHeight="1" x14ac:dyDescent="0.3">
      <c r="A36" s="103" t="s">
        <v>495</v>
      </c>
      <c r="B36" s="104" t="s">
        <v>134</v>
      </c>
      <c r="C36" s="19" t="s">
        <v>134</v>
      </c>
      <c r="D36" s="100"/>
      <c r="E36" s="101" t="str">
        <f t="shared" si="1"/>
        <v/>
      </c>
      <c r="F36" s="105"/>
    </row>
    <row r="37" spans="1:6" ht="42" customHeight="1" x14ac:dyDescent="0.3">
      <c r="A37" s="97" t="s">
        <v>518</v>
      </c>
      <c r="B37" s="98" t="s">
        <v>519</v>
      </c>
      <c r="C37" s="99" t="s">
        <v>138</v>
      </c>
      <c r="D37" s="100"/>
      <c r="E37" s="101" t="str">
        <f t="shared" si="1"/>
        <v/>
      </c>
      <c r="F37" s="102"/>
    </row>
    <row r="38" spans="1:6" ht="42" customHeight="1" x14ac:dyDescent="0.3">
      <c r="A38" s="103" t="s">
        <v>526</v>
      </c>
      <c r="B38" s="104" t="s">
        <v>146</v>
      </c>
      <c r="C38" s="19" t="s">
        <v>146</v>
      </c>
      <c r="D38" s="100"/>
      <c r="E38" s="101" t="str">
        <f t="shared" si="1"/>
        <v/>
      </c>
      <c r="F38" s="105"/>
    </row>
    <row r="39" spans="1:6" ht="42" customHeight="1" x14ac:dyDescent="0.3">
      <c r="A39" s="106"/>
      <c r="B39" s="107" t="s">
        <v>703</v>
      </c>
      <c r="C39" s="118" t="s">
        <v>693</v>
      </c>
      <c r="D39" s="119"/>
      <c r="E39" s="120" t="str">
        <f>IF(COUNT(E31:E38)=0,"–",SUM(E31:E38)/(2*COUNT(E31:E38)))</f>
        <v>–</v>
      </c>
      <c r="F39" s="121"/>
    </row>
    <row r="40" spans="1:6" ht="42" customHeight="1" x14ac:dyDescent="0.3">
      <c r="A40" s="112"/>
      <c r="B40" s="113"/>
      <c r="C40" s="114"/>
      <c r="D40" s="115"/>
      <c r="E40" s="116"/>
      <c r="F40" s="117"/>
    </row>
    <row r="41" spans="1:6" ht="42" customHeight="1" x14ac:dyDescent="0.3">
      <c r="A41" s="141" t="s">
        <v>704</v>
      </c>
      <c r="B41" s="141"/>
      <c r="C41" s="141"/>
      <c r="D41" s="141"/>
      <c r="E41" s="141"/>
      <c r="F41" s="141"/>
    </row>
    <row r="42" spans="1:6" ht="42" customHeight="1" x14ac:dyDescent="0.3">
      <c r="A42" s="97" t="s">
        <v>330</v>
      </c>
      <c r="B42" s="98" t="s">
        <v>152</v>
      </c>
      <c r="C42" s="99" t="s">
        <v>152</v>
      </c>
      <c r="D42" s="100"/>
      <c r="E42" s="101" t="str">
        <f t="shared" ref="E42:E52" si="2">IF(D42="erfüllt",2,IF(D42="teilweise",1,IF(D42="nicht erfüllt",0,"")))</f>
        <v/>
      </c>
      <c r="F42" s="102"/>
    </row>
    <row r="43" spans="1:6" ht="42" customHeight="1" x14ac:dyDescent="0.3">
      <c r="A43" s="103" t="s">
        <v>341</v>
      </c>
      <c r="B43" s="104" t="s">
        <v>157</v>
      </c>
      <c r="C43" s="19" t="s">
        <v>157</v>
      </c>
      <c r="D43" s="100"/>
      <c r="E43" s="101" t="str">
        <f t="shared" si="2"/>
        <v/>
      </c>
      <c r="F43" s="105"/>
    </row>
    <row r="44" spans="1:6" ht="42" customHeight="1" x14ac:dyDescent="0.3">
      <c r="A44" s="97" t="s">
        <v>344</v>
      </c>
      <c r="B44" s="98" t="s">
        <v>162</v>
      </c>
      <c r="C44" s="99" t="s">
        <v>162</v>
      </c>
      <c r="D44" s="100"/>
      <c r="E44" s="101" t="str">
        <f t="shared" si="2"/>
        <v/>
      </c>
      <c r="F44" s="102"/>
    </row>
    <row r="45" spans="1:6" ht="42" customHeight="1" x14ac:dyDescent="0.3">
      <c r="A45" s="103" t="s">
        <v>350</v>
      </c>
      <c r="B45" s="104" t="s">
        <v>351</v>
      </c>
      <c r="C45" s="19" t="s">
        <v>166</v>
      </c>
      <c r="D45" s="100"/>
      <c r="E45" s="101" t="str">
        <f t="shared" si="2"/>
        <v/>
      </c>
      <c r="F45" s="105"/>
    </row>
    <row r="46" spans="1:6" ht="42" customHeight="1" x14ac:dyDescent="0.3">
      <c r="A46" s="97" t="s">
        <v>353</v>
      </c>
      <c r="B46" s="98" t="s">
        <v>170</v>
      </c>
      <c r="C46" s="99" t="s">
        <v>170</v>
      </c>
      <c r="D46" s="100"/>
      <c r="E46" s="101" t="str">
        <f t="shared" si="2"/>
        <v/>
      </c>
      <c r="F46" s="102"/>
    </row>
    <row r="47" spans="1:6" ht="42" customHeight="1" x14ac:dyDescent="0.3">
      <c r="A47" s="103" t="s">
        <v>608</v>
      </c>
      <c r="B47" s="104" t="s">
        <v>178</v>
      </c>
      <c r="C47" s="19" t="s">
        <v>178</v>
      </c>
      <c r="D47" s="100"/>
      <c r="E47" s="101" t="str">
        <f t="shared" si="2"/>
        <v/>
      </c>
      <c r="F47" s="105"/>
    </row>
    <row r="48" spans="1:6" ht="42" customHeight="1" x14ac:dyDescent="0.3">
      <c r="A48" s="97" t="s">
        <v>611</v>
      </c>
      <c r="B48" s="98" t="s">
        <v>184</v>
      </c>
      <c r="C48" s="99" t="s">
        <v>184</v>
      </c>
      <c r="D48" s="100"/>
      <c r="E48" s="101" t="str">
        <f t="shared" si="2"/>
        <v/>
      </c>
      <c r="F48" s="102"/>
    </row>
    <row r="49" spans="1:6" ht="42" customHeight="1" x14ac:dyDescent="0.3">
      <c r="A49" s="103" t="s">
        <v>614</v>
      </c>
      <c r="B49" s="104" t="s">
        <v>189</v>
      </c>
      <c r="C49" s="19" t="s">
        <v>189</v>
      </c>
      <c r="D49" s="100"/>
      <c r="E49" s="101" t="str">
        <f t="shared" si="2"/>
        <v/>
      </c>
      <c r="F49" s="105"/>
    </row>
    <row r="50" spans="1:6" ht="42" customHeight="1" x14ac:dyDescent="0.3">
      <c r="A50" s="97" t="s">
        <v>617</v>
      </c>
      <c r="B50" s="98" t="s">
        <v>618</v>
      </c>
      <c r="C50" s="99" t="s">
        <v>200</v>
      </c>
      <c r="D50" s="100"/>
      <c r="E50" s="101" t="str">
        <f t="shared" si="2"/>
        <v/>
      </c>
      <c r="F50" s="102"/>
    </row>
    <row r="51" spans="1:6" ht="42" customHeight="1" x14ac:dyDescent="0.3">
      <c r="A51" s="103" t="s">
        <v>643</v>
      </c>
      <c r="B51" s="104" t="s">
        <v>644</v>
      </c>
      <c r="C51" s="19" t="s">
        <v>208</v>
      </c>
      <c r="D51" s="100"/>
      <c r="E51" s="101" t="str">
        <f t="shared" si="2"/>
        <v/>
      </c>
      <c r="F51" s="105"/>
    </row>
    <row r="52" spans="1:6" ht="42" customHeight="1" x14ac:dyDescent="0.3">
      <c r="A52" s="97" t="s">
        <v>647</v>
      </c>
      <c r="B52" s="98" t="s">
        <v>648</v>
      </c>
      <c r="C52" s="99" t="s">
        <v>213</v>
      </c>
      <c r="D52" s="100"/>
      <c r="E52" s="101" t="str">
        <f t="shared" si="2"/>
        <v/>
      </c>
      <c r="F52" s="102"/>
    </row>
    <row r="53" spans="1:6" ht="42" customHeight="1" x14ac:dyDescent="0.3">
      <c r="A53" s="106"/>
      <c r="B53" s="107" t="s">
        <v>705</v>
      </c>
      <c r="C53" s="118" t="s">
        <v>693</v>
      </c>
      <c r="D53" s="119"/>
      <c r="E53" s="120" t="str">
        <f>IF(COUNT(E42:E52)=0,"–",SUM(E42:E52)/(2*COUNT(E42:E52)))</f>
        <v>–</v>
      </c>
      <c r="F53" s="121"/>
    </row>
    <row r="54" spans="1:6" ht="42" customHeight="1" x14ac:dyDescent="0.3">
      <c r="A54" s="122"/>
      <c r="F54" s="123"/>
    </row>
    <row r="55" spans="1:6" ht="42" customHeight="1" x14ac:dyDescent="0.3">
      <c r="A55" s="142" t="s">
        <v>706</v>
      </c>
      <c r="B55" s="142"/>
      <c r="C55" s="142"/>
      <c r="D55" s="142"/>
      <c r="E55" s="124">
        <f>IF((COUNT(E8:E11)+COUNT(E15:E27)+COUNT(E31:E38)+COUNT(E42:E52))=0,"–",(SUM(E8:E11)+SUM(E15:E27)+SUM(E31:E38)+SUM(E42:E52))/(2*(COUNT(E8:E11)+COUNT(E15:E27)+COUNT(E31:E38)+COUNT(E42:E52))))</f>
        <v>0.75</v>
      </c>
      <c r="F55" s="111"/>
    </row>
    <row r="57" spans="1:6" ht="30" customHeight="1" x14ac:dyDescent="0.3">
      <c r="A57" s="6" t="s">
        <v>707</v>
      </c>
      <c r="B57" s="6"/>
      <c r="C57" s="6"/>
      <c r="D57" s="6"/>
      <c r="E57" s="6"/>
      <c r="F57" s="6"/>
    </row>
  </sheetData>
  <mergeCells count="9">
    <mergeCell ref="A30:F30"/>
    <mergeCell ref="A41:F41"/>
    <mergeCell ref="A55:D55"/>
    <mergeCell ref="A57:F57"/>
    <mergeCell ref="A1:F1"/>
    <mergeCell ref="A2:B2"/>
    <mergeCell ref="A3:F3"/>
    <mergeCell ref="A7:F7"/>
    <mergeCell ref="A14:F14"/>
  </mergeCells>
  <conditionalFormatting sqref="D8:D11">
    <cfRule type="cellIs" dxfId="15" priority="14" operator="equal">
      <formula>$I$5</formula>
    </cfRule>
    <cfRule type="cellIs" dxfId="14" priority="15" operator="equal">
      <formula>$I$4</formula>
    </cfRule>
    <cfRule type="cellIs" dxfId="13" priority="16" operator="equal">
      <formula>$I$3</formula>
    </cfRule>
    <cfRule type="cellIs" dxfId="12" priority="17" operator="equal">
      <formula>$I$2</formula>
    </cfRule>
  </conditionalFormatting>
  <conditionalFormatting sqref="D15:D27">
    <cfRule type="cellIs" dxfId="11" priority="10" operator="equal">
      <formula>$I$5</formula>
    </cfRule>
    <cfRule type="cellIs" dxfId="10" priority="11" operator="equal">
      <formula>$I$4</formula>
    </cfRule>
    <cfRule type="cellIs" dxfId="9" priority="12" operator="equal">
      <formula>$I$3</formula>
    </cfRule>
    <cfRule type="cellIs" dxfId="8" priority="13" operator="equal">
      <formula>$I$2</formula>
    </cfRule>
  </conditionalFormatting>
  <conditionalFormatting sqref="D31:D38">
    <cfRule type="cellIs" dxfId="7" priority="6" operator="equal">
      <formula>$I$5</formula>
    </cfRule>
    <cfRule type="cellIs" dxfId="6" priority="7" operator="equal">
      <formula>$I$4</formula>
    </cfRule>
    <cfRule type="cellIs" dxfId="5" priority="8" operator="equal">
      <formula>$I$3</formula>
    </cfRule>
    <cfRule type="cellIs" dxfId="4" priority="9" operator="equal">
      <formula>$I$2</formula>
    </cfRule>
  </conditionalFormatting>
  <conditionalFormatting sqref="D42:D52">
    <cfRule type="cellIs" dxfId="3" priority="2" operator="equal">
      <formula>$I$5</formula>
    </cfRule>
    <cfRule type="cellIs" dxfId="2" priority="3" operator="equal">
      <formula>$I$4</formula>
    </cfRule>
    <cfRule type="cellIs" dxfId="1" priority="4" operator="equal">
      <formula>$I$3</formula>
    </cfRule>
    <cfRule type="cellIs" dxfId="0" priority="5" operator="equal">
      <formula>$I$2</formula>
    </cfRule>
  </conditionalFormatting>
  <dataValidations count="1">
    <dataValidation type="list" allowBlank="1" showInputMessage="1" showErrorMessage="1" sqref="D8:D12 D15:D27 D31:D38 D42:D52" xr:uid="{00000000-0002-0000-0F00-000000000000}">
      <formula1>$I$2:$I$6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J52"/>
  <sheetViews>
    <sheetView zoomScaleNormal="100" workbookViewId="0">
      <pane ySplit="1" topLeftCell="A2" activePane="bottomLeft" state="frozen"/>
      <selection pane="bottomLeft" activeCell="D26" sqref="D26"/>
    </sheetView>
  </sheetViews>
  <sheetFormatPr baseColWidth="10" defaultColWidth="32.77734375" defaultRowHeight="14.4" x14ac:dyDescent="0.3"/>
  <cols>
    <col min="1" max="1" width="32.77734375" style="23"/>
    <col min="2" max="2" width="65.5546875" style="23" customWidth="1"/>
    <col min="3" max="3" width="14.88671875" style="23" customWidth="1"/>
    <col min="4" max="4" width="30.33203125" style="23" customWidth="1"/>
    <col min="5" max="5" width="21.6640625" style="23" customWidth="1"/>
    <col min="6" max="6" width="21.109375" style="23" customWidth="1"/>
    <col min="7" max="7" width="20.6640625" style="23" customWidth="1"/>
    <col min="8" max="8" width="23.33203125" style="23" customWidth="1"/>
    <col min="9" max="9" width="20.44140625" style="23" customWidth="1"/>
    <col min="10" max="16384" width="32.77734375" style="23"/>
  </cols>
  <sheetData>
    <row r="1" spans="1:9" ht="45.75" customHeight="1" x14ac:dyDescent="0.3">
      <c r="A1" s="143" t="s">
        <v>708</v>
      </c>
      <c r="B1" s="143"/>
    </row>
    <row r="2" spans="1:9" ht="45.75" customHeight="1" x14ac:dyDescent="0.3">
      <c r="A2" s="10" t="s">
        <v>709</v>
      </c>
      <c r="B2" s="10"/>
    </row>
    <row r="4" spans="1:9" ht="45.75" customHeight="1" x14ac:dyDescent="0.3">
      <c r="A4" s="144" t="s">
        <v>710</v>
      </c>
      <c r="B4" s="144"/>
    </row>
    <row r="5" spans="1:9" ht="45.75" customHeight="1" x14ac:dyDescent="0.3">
      <c r="A5" s="125" t="s">
        <v>711</v>
      </c>
      <c r="B5" s="126" t="s">
        <v>712</v>
      </c>
    </row>
    <row r="6" spans="1:9" ht="45.75" customHeight="1" x14ac:dyDescent="0.3">
      <c r="A6" s="125" t="s">
        <v>713</v>
      </c>
      <c r="B6" s="126" t="s">
        <v>714</v>
      </c>
    </row>
    <row r="7" spans="1:9" ht="45.75" customHeight="1" x14ac:dyDescent="0.3">
      <c r="A7" s="125" t="s">
        <v>715</v>
      </c>
      <c r="B7" s="126" t="s">
        <v>716</v>
      </c>
    </row>
    <row r="8" spans="1:9" ht="45.75" customHeight="1" x14ac:dyDescent="0.3">
      <c r="A8" s="125" t="s">
        <v>717</v>
      </c>
      <c r="B8" s="126" t="s">
        <v>718</v>
      </c>
    </row>
    <row r="9" spans="1:9" ht="45.75" customHeight="1" x14ac:dyDescent="0.3">
      <c r="A9" s="144" t="s">
        <v>719</v>
      </c>
      <c r="B9" s="144"/>
    </row>
    <row r="10" spans="1:9" ht="45.75" customHeight="1" x14ac:dyDescent="0.3">
      <c r="A10" s="125" t="s">
        <v>720</v>
      </c>
      <c r="B10" s="126" t="s">
        <v>721</v>
      </c>
      <c r="D10" s="23" t="s">
        <v>7</v>
      </c>
      <c r="E10" s="23" t="s">
        <v>721</v>
      </c>
      <c r="F10" s="23" t="s">
        <v>9</v>
      </c>
      <c r="G10" s="23" t="s">
        <v>722</v>
      </c>
      <c r="H10" s="23" t="s">
        <v>723</v>
      </c>
      <c r="I10" s="23" t="s">
        <v>724</v>
      </c>
    </row>
    <row r="11" spans="1:9" ht="45.75" customHeight="1" x14ac:dyDescent="0.3">
      <c r="A11" s="125" t="s">
        <v>725</v>
      </c>
      <c r="B11" s="126" t="s">
        <v>726</v>
      </c>
      <c r="D11" s="23" t="s">
        <v>726</v>
      </c>
      <c r="E11" s="23" t="s">
        <v>727</v>
      </c>
      <c r="F11" s="23" t="s">
        <v>728</v>
      </c>
      <c r="G11" s="23" t="s">
        <v>729</v>
      </c>
    </row>
    <row r="12" spans="1:9" ht="45.75" customHeight="1" x14ac:dyDescent="0.3">
      <c r="A12" s="125" t="s">
        <v>730</v>
      </c>
      <c r="B12" s="126"/>
      <c r="D12" s="23" t="s">
        <v>731</v>
      </c>
      <c r="E12" s="23" t="s">
        <v>35</v>
      </c>
    </row>
    <row r="13" spans="1:9" ht="45.75" customHeight="1" x14ac:dyDescent="0.3">
      <c r="A13" s="125" t="s">
        <v>732</v>
      </c>
      <c r="B13" s="126" t="s">
        <v>733</v>
      </c>
      <c r="D13" s="23" t="s">
        <v>734</v>
      </c>
      <c r="E13" s="23" t="s">
        <v>733</v>
      </c>
      <c r="F13" s="23" t="s">
        <v>735</v>
      </c>
      <c r="G13" s="23" t="s">
        <v>736</v>
      </c>
    </row>
    <row r="14" spans="1:9" ht="45.75" customHeight="1" x14ac:dyDescent="0.3">
      <c r="A14" s="125" t="s">
        <v>39</v>
      </c>
      <c r="B14" s="126" t="s">
        <v>361</v>
      </c>
    </row>
    <row r="15" spans="1:9" ht="45.75" customHeight="1" x14ac:dyDescent="0.3">
      <c r="A15" s="144" t="s">
        <v>737</v>
      </c>
      <c r="B15" s="144"/>
    </row>
    <row r="16" spans="1:9" ht="45.75" customHeight="1" x14ac:dyDescent="0.3">
      <c r="A16" s="125" t="s">
        <v>738</v>
      </c>
      <c r="B16" s="126" t="s">
        <v>739</v>
      </c>
      <c r="D16" s="127" t="s">
        <v>739</v>
      </c>
      <c r="E16" s="23" t="s">
        <v>740</v>
      </c>
      <c r="F16" s="23" t="s">
        <v>741</v>
      </c>
      <c r="G16" s="23" t="s">
        <v>742</v>
      </c>
    </row>
    <row r="17" spans="1:10" ht="45.75" customHeight="1" x14ac:dyDescent="0.3">
      <c r="A17" s="128" t="s">
        <v>743</v>
      </c>
      <c r="B17" s="126" t="s">
        <v>744</v>
      </c>
    </row>
    <row r="18" spans="1:10" ht="45.75" customHeight="1" x14ac:dyDescent="0.3">
      <c r="A18" s="125" t="s">
        <v>745</v>
      </c>
      <c r="B18" s="126" t="s">
        <v>746</v>
      </c>
      <c r="C18" s="23" t="s">
        <v>546</v>
      </c>
      <c r="D18" s="23" t="s">
        <v>747</v>
      </c>
      <c r="E18" s="23" t="s">
        <v>748</v>
      </c>
      <c r="F18" s="23" t="s">
        <v>749</v>
      </c>
    </row>
    <row r="19" spans="1:10" ht="45.75" customHeight="1" x14ac:dyDescent="0.3">
      <c r="A19" s="125" t="s">
        <v>750</v>
      </c>
      <c r="B19" s="126" t="s">
        <v>751</v>
      </c>
    </row>
    <row r="20" spans="1:10" ht="45.75" customHeight="1" x14ac:dyDescent="0.3">
      <c r="A20" s="125" t="s">
        <v>752</v>
      </c>
      <c r="B20" s="126" t="s">
        <v>753</v>
      </c>
    </row>
    <row r="21" spans="1:10" ht="45.75" customHeight="1" x14ac:dyDescent="0.3">
      <c r="A21" s="125" t="s">
        <v>754</v>
      </c>
      <c r="B21" s="126" t="s">
        <v>755</v>
      </c>
      <c r="D21" s="129" t="s">
        <v>756</v>
      </c>
      <c r="E21" s="129" t="s">
        <v>757</v>
      </c>
      <c r="F21" s="129" t="s">
        <v>758</v>
      </c>
      <c r="G21" s="129" t="s">
        <v>759</v>
      </c>
      <c r="H21" s="129"/>
    </row>
    <row r="22" spans="1:10" ht="45.75" customHeight="1" x14ac:dyDescent="0.3">
      <c r="A22" s="144" t="s">
        <v>760</v>
      </c>
      <c r="B22" s="144"/>
    </row>
    <row r="23" spans="1:10" ht="45.75" customHeight="1" x14ac:dyDescent="0.3">
      <c r="A23" s="125" t="s">
        <v>761</v>
      </c>
      <c r="B23" s="126" t="s">
        <v>762</v>
      </c>
      <c r="D23" s="129" t="s">
        <v>762</v>
      </c>
      <c r="E23" s="129" t="s">
        <v>763</v>
      </c>
      <c r="F23" s="129" t="s">
        <v>764</v>
      </c>
      <c r="G23" s="129"/>
    </row>
    <row r="24" spans="1:10" ht="45.75" customHeight="1" x14ac:dyDescent="0.3">
      <c r="A24" s="125" t="s">
        <v>765</v>
      </c>
      <c r="B24" s="126" t="s">
        <v>766</v>
      </c>
      <c r="D24" s="23" t="s">
        <v>111</v>
      </c>
      <c r="E24" s="23" t="s">
        <v>766</v>
      </c>
      <c r="F24" s="23" t="s">
        <v>767</v>
      </c>
    </row>
    <row r="25" spans="1:10" ht="45.75" customHeight="1" x14ac:dyDescent="0.3">
      <c r="A25" s="125" t="s">
        <v>768</v>
      </c>
      <c r="B25" s="126" t="s">
        <v>769</v>
      </c>
      <c r="D25" s="23" t="s">
        <v>770</v>
      </c>
      <c r="E25" s="23" t="s">
        <v>769</v>
      </c>
      <c r="F25" s="23" t="s">
        <v>771</v>
      </c>
    </row>
    <row r="26" spans="1:10" ht="45.75" customHeight="1" x14ac:dyDescent="0.3">
      <c r="A26" s="125" t="s">
        <v>772</v>
      </c>
      <c r="B26" s="126" t="s">
        <v>773</v>
      </c>
      <c r="D26" s="130">
        <v>1</v>
      </c>
      <c r="E26" s="130" t="s">
        <v>774</v>
      </c>
      <c r="F26" s="130" t="s">
        <v>773</v>
      </c>
      <c r="G26" s="130" t="s">
        <v>775</v>
      </c>
      <c r="H26" s="130" t="s">
        <v>776</v>
      </c>
      <c r="I26" s="130" t="s">
        <v>145</v>
      </c>
      <c r="J26" s="130"/>
    </row>
    <row r="27" spans="1:10" ht="45.75" customHeight="1" x14ac:dyDescent="0.3">
      <c r="A27" s="125" t="s">
        <v>777</v>
      </c>
      <c r="B27" s="126" t="s">
        <v>778</v>
      </c>
      <c r="D27" s="129" t="s">
        <v>779</v>
      </c>
      <c r="E27" s="129" t="s">
        <v>780</v>
      </c>
      <c r="F27" s="129" t="s">
        <v>778</v>
      </c>
      <c r="G27" s="129" t="s">
        <v>781</v>
      </c>
      <c r="H27" s="129" t="s">
        <v>782</v>
      </c>
      <c r="I27" s="129"/>
      <c r="J27" s="129"/>
    </row>
    <row r="28" spans="1:10" ht="45.75" customHeight="1" x14ac:dyDescent="0.3">
      <c r="A28" s="125" t="s">
        <v>783</v>
      </c>
      <c r="B28" s="126" t="s">
        <v>784</v>
      </c>
      <c r="D28" s="23" t="s">
        <v>784</v>
      </c>
      <c r="E28" s="23" t="s">
        <v>785</v>
      </c>
    </row>
    <row r="29" spans="1:10" ht="45.75" customHeight="1" x14ac:dyDescent="0.3">
      <c r="A29" s="144" t="s">
        <v>786</v>
      </c>
      <c r="B29" s="144"/>
    </row>
    <row r="30" spans="1:10" ht="45.75" customHeight="1" x14ac:dyDescent="0.3">
      <c r="A30" s="125" t="s">
        <v>550</v>
      </c>
      <c r="B30" s="126" t="s">
        <v>787</v>
      </c>
      <c r="D30" s="131" t="s">
        <v>788</v>
      </c>
      <c r="E30" s="129" t="s">
        <v>56</v>
      </c>
      <c r="F30" s="129" t="s">
        <v>789</v>
      </c>
      <c r="G30" s="129" t="s">
        <v>790</v>
      </c>
    </row>
    <row r="31" spans="1:10" ht="45.75" customHeight="1" x14ac:dyDescent="0.3">
      <c r="A31" s="125" t="s">
        <v>59</v>
      </c>
      <c r="B31" s="126" t="s">
        <v>791</v>
      </c>
      <c r="D31" s="23" t="s">
        <v>792</v>
      </c>
      <c r="E31" s="23" t="s">
        <v>793</v>
      </c>
      <c r="F31" s="23" t="s">
        <v>62</v>
      </c>
    </row>
    <row r="32" spans="1:10" ht="45.75" customHeight="1" x14ac:dyDescent="0.3">
      <c r="A32" s="125" t="s">
        <v>63</v>
      </c>
      <c r="B32" s="126" t="s">
        <v>794</v>
      </c>
      <c r="D32" s="70" t="s">
        <v>795</v>
      </c>
      <c r="E32" s="70" t="s">
        <v>65</v>
      </c>
      <c r="F32" s="70" t="s">
        <v>66</v>
      </c>
      <c r="G32" s="70" t="s">
        <v>67</v>
      </c>
    </row>
    <row r="33" spans="1:10" ht="45.75" customHeight="1" x14ac:dyDescent="0.3">
      <c r="A33" s="125" t="s">
        <v>796</v>
      </c>
      <c r="B33" s="126" t="s">
        <v>72</v>
      </c>
      <c r="D33" s="74" t="s">
        <v>69</v>
      </c>
      <c r="E33" s="74" t="s">
        <v>797</v>
      </c>
      <c r="F33" s="74" t="s">
        <v>71</v>
      </c>
      <c r="G33" s="74" t="s">
        <v>72</v>
      </c>
      <c r="H33" s="74" t="s">
        <v>73</v>
      </c>
      <c r="I33" s="74" t="s">
        <v>798</v>
      </c>
      <c r="J33" s="74" t="s">
        <v>799</v>
      </c>
    </row>
    <row r="34" spans="1:10" ht="45.75" customHeight="1" x14ac:dyDescent="0.3">
      <c r="A34" s="125" t="s">
        <v>800</v>
      </c>
      <c r="B34" s="126" t="s">
        <v>734</v>
      </c>
      <c r="D34" s="23" t="s">
        <v>734</v>
      </c>
      <c r="E34" s="23" t="s">
        <v>733</v>
      </c>
      <c r="F34" s="23" t="s">
        <v>735</v>
      </c>
      <c r="G34" s="23" t="s">
        <v>736</v>
      </c>
    </row>
    <row r="35" spans="1:10" ht="45.75" customHeight="1" x14ac:dyDescent="0.3">
      <c r="A35" s="144" t="s">
        <v>801</v>
      </c>
      <c r="B35" s="144"/>
    </row>
    <row r="36" spans="1:10" ht="45.75" customHeight="1" x14ac:dyDescent="0.3">
      <c r="A36" s="125" t="s">
        <v>802</v>
      </c>
      <c r="B36" s="126" t="s">
        <v>803</v>
      </c>
      <c r="D36" s="36" t="s">
        <v>804</v>
      </c>
      <c r="E36" s="36" t="s">
        <v>805</v>
      </c>
      <c r="F36" s="36" t="s">
        <v>806</v>
      </c>
      <c r="G36" s="36" t="s">
        <v>803</v>
      </c>
      <c r="H36" s="36" t="s">
        <v>807</v>
      </c>
      <c r="I36" s="36" t="s">
        <v>808</v>
      </c>
      <c r="J36" s="36" t="s">
        <v>809</v>
      </c>
    </row>
    <row r="37" spans="1:10" ht="45.75" customHeight="1" x14ac:dyDescent="0.3">
      <c r="A37" s="125" t="s">
        <v>810</v>
      </c>
      <c r="B37" s="126" t="s">
        <v>811</v>
      </c>
      <c r="D37" s="132" t="s">
        <v>179</v>
      </c>
      <c r="E37" s="132" t="s">
        <v>812</v>
      </c>
      <c r="F37" s="132" t="s">
        <v>813</v>
      </c>
      <c r="G37" s="132" t="s">
        <v>814</v>
      </c>
      <c r="H37" s="132" t="s">
        <v>815</v>
      </c>
      <c r="I37" s="132"/>
      <c r="J37" s="132"/>
    </row>
    <row r="38" spans="1:10" ht="45.75" customHeight="1" x14ac:dyDescent="0.3">
      <c r="A38" s="125" t="s">
        <v>816</v>
      </c>
      <c r="B38" s="126" t="s">
        <v>817</v>
      </c>
    </row>
    <row r="39" spans="1:10" ht="45.75" customHeight="1" x14ac:dyDescent="0.3">
      <c r="A39" s="125" t="s">
        <v>818</v>
      </c>
      <c r="B39" s="126" t="s">
        <v>819</v>
      </c>
    </row>
    <row r="40" spans="1:10" ht="45.75" customHeight="1" x14ac:dyDescent="0.3">
      <c r="A40" s="125" t="s">
        <v>820</v>
      </c>
      <c r="B40" s="126" t="s">
        <v>821</v>
      </c>
      <c r="D40" s="23" t="s">
        <v>822</v>
      </c>
      <c r="E40" s="23" t="s">
        <v>823</v>
      </c>
      <c r="F40" s="23" t="s">
        <v>824</v>
      </c>
    </row>
    <row r="41" spans="1:10" ht="45.75" customHeight="1" x14ac:dyDescent="0.3">
      <c r="A41" s="125" t="s">
        <v>825</v>
      </c>
      <c r="B41" s="126" t="s">
        <v>826</v>
      </c>
      <c r="D41" s="23" t="s">
        <v>827</v>
      </c>
      <c r="E41" s="23" t="s">
        <v>828</v>
      </c>
    </row>
    <row r="42" spans="1:10" ht="45.75" customHeight="1" x14ac:dyDescent="0.3">
      <c r="A42" s="125" t="s">
        <v>829</v>
      </c>
      <c r="B42" s="126" t="s">
        <v>826</v>
      </c>
      <c r="D42" s="23" t="s">
        <v>830</v>
      </c>
      <c r="E42" s="23" t="s">
        <v>831</v>
      </c>
    </row>
    <row r="43" spans="1:10" ht="45.75" customHeight="1" x14ac:dyDescent="0.3">
      <c r="A43" s="144" t="s">
        <v>832</v>
      </c>
      <c r="B43" s="144"/>
    </row>
    <row r="44" spans="1:10" ht="45.75" customHeight="1" x14ac:dyDescent="0.3">
      <c r="A44" s="125" t="s">
        <v>833</v>
      </c>
      <c r="B44" s="126" t="s">
        <v>586</v>
      </c>
    </row>
    <row r="45" spans="1:10" ht="45.75" customHeight="1" x14ac:dyDescent="0.3">
      <c r="A45" s="125" t="s">
        <v>834</v>
      </c>
      <c r="B45" s="126" t="s">
        <v>587</v>
      </c>
    </row>
    <row r="46" spans="1:10" ht="45.75" customHeight="1" x14ac:dyDescent="0.3">
      <c r="A46" s="125" t="s">
        <v>835</v>
      </c>
      <c r="B46" s="126" t="s">
        <v>836</v>
      </c>
    </row>
    <row r="47" spans="1:10" ht="45.75" customHeight="1" x14ac:dyDescent="0.3">
      <c r="A47" s="144" t="s">
        <v>837</v>
      </c>
      <c r="B47" s="144"/>
    </row>
    <row r="48" spans="1:10" ht="45.75" customHeight="1" x14ac:dyDescent="0.3">
      <c r="A48" s="125" t="s">
        <v>838</v>
      </c>
      <c r="B48" s="126" t="s">
        <v>839</v>
      </c>
    </row>
    <row r="49" spans="1:2" ht="45.75" customHeight="1" x14ac:dyDescent="0.3">
      <c r="A49" s="125" t="s">
        <v>840</v>
      </c>
      <c r="B49" s="126" t="s">
        <v>841</v>
      </c>
    </row>
    <row r="50" spans="1:2" ht="45.75" customHeight="1" x14ac:dyDescent="0.3">
      <c r="A50" s="125" t="s">
        <v>842</v>
      </c>
      <c r="B50" s="126" t="s">
        <v>843</v>
      </c>
    </row>
    <row r="52" spans="1:2" ht="45.75" customHeight="1" x14ac:dyDescent="0.3">
      <c r="A52" s="6" t="s">
        <v>844</v>
      </c>
      <c r="B52" s="6"/>
    </row>
  </sheetData>
  <mergeCells count="11">
    <mergeCell ref="A52:B52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dataValidations count="23">
    <dataValidation type="list" allowBlank="1" showInputMessage="1" showErrorMessage="1" sqref="B10" xr:uid="{00000000-0002-0000-1000-000000000000}">
      <formula1>$D$10:$I$10</formula1>
      <formula2>0</formula2>
    </dataValidation>
    <dataValidation type="list" allowBlank="1" showInputMessage="1" showErrorMessage="1" sqref="B11" xr:uid="{00000000-0002-0000-1000-000001000000}">
      <formula1>$D$11:$G$11</formula1>
      <formula2>0</formula2>
    </dataValidation>
    <dataValidation type="list" allowBlank="1" showInputMessage="1" showErrorMessage="1" sqref="B12" xr:uid="{00000000-0002-0000-1000-000002000000}">
      <formula1>$D$12:$E$12</formula1>
      <formula2>0</formula2>
    </dataValidation>
    <dataValidation type="list" allowBlank="1" showInputMessage="1" showErrorMessage="1" sqref="B13" xr:uid="{00000000-0002-0000-1000-000003000000}">
      <formula1>$D$13:$G$13</formula1>
      <formula2>0</formula2>
    </dataValidation>
    <dataValidation type="list" allowBlank="1" showInputMessage="1" showErrorMessage="1" sqref="B23" xr:uid="{00000000-0002-0000-1000-000004000000}">
      <formula1>$D$23:$F$23</formula1>
      <formula2>0</formula2>
    </dataValidation>
    <dataValidation type="list" allowBlank="1" showInputMessage="1" showErrorMessage="1" sqref="B24" xr:uid="{00000000-0002-0000-1000-000005000000}">
      <formula1>$D$24:$F$24</formula1>
      <formula2>0</formula2>
    </dataValidation>
    <dataValidation type="list" allowBlank="1" showInputMessage="1" showErrorMessage="1" sqref="B26" xr:uid="{00000000-0002-0000-1000-000006000000}">
      <formula1>$D$26:$I$26</formula1>
      <formula2>0</formula2>
    </dataValidation>
    <dataValidation type="list" allowBlank="1" showInputMessage="1" showErrorMessage="1" sqref="B25" xr:uid="{00000000-0002-0000-1000-000007000000}">
      <formula1>$D$25:$F$25</formula1>
      <formula2>0</formula2>
    </dataValidation>
    <dataValidation type="list" allowBlank="1" showInputMessage="1" showErrorMessage="1" sqref="B27" xr:uid="{00000000-0002-0000-1000-000008000000}">
      <formula1>$D$27:$H$27</formula1>
      <formula2>0</formula2>
    </dataValidation>
    <dataValidation type="list" allowBlank="1" showInputMessage="1" showErrorMessage="1" sqref="B28" xr:uid="{00000000-0002-0000-1000-000009000000}">
      <formula1>$D$28:$E$28</formula1>
      <formula2>0</formula2>
    </dataValidation>
    <dataValidation type="list" allowBlank="1" showInputMessage="1" showErrorMessage="1" sqref="B16" xr:uid="{00000000-0002-0000-1000-00000A000000}">
      <formula1>$D$16:$G$16</formula1>
      <formula2>0</formula2>
    </dataValidation>
    <dataValidation type="list" allowBlank="1" showInputMessage="1" showErrorMessage="1" sqref="B18" xr:uid="{00000000-0002-0000-1000-00000B000000}">
      <formula1>$D$18:$F$18</formula1>
      <formula2>0</formula2>
    </dataValidation>
    <dataValidation type="list" allowBlank="1" showInputMessage="1" showErrorMessage="1" sqref="B21" xr:uid="{00000000-0002-0000-1000-00000C000000}">
      <formula1>$D$21:$G$21</formula1>
      <formula2>0</formula2>
    </dataValidation>
    <dataValidation type="list" allowBlank="1" showInputMessage="1" showErrorMessage="1" sqref="B30" xr:uid="{00000000-0002-0000-1000-00000D000000}">
      <formula1>$D$30:$G$30</formula1>
      <formula2>0</formula2>
    </dataValidation>
    <dataValidation type="list" allowBlank="1" showInputMessage="1" showErrorMessage="1" sqref="B31" xr:uid="{00000000-0002-0000-1000-00000E000000}">
      <formula1>$D$31:$F$31</formula1>
      <formula2>0</formula2>
    </dataValidation>
    <dataValidation type="list" allowBlank="1" showInputMessage="1" showErrorMessage="1" sqref="B32" xr:uid="{00000000-0002-0000-1000-00000F000000}">
      <formula1>$D$32:$G$32</formula1>
      <formula2>0</formula2>
    </dataValidation>
    <dataValidation type="list" allowBlank="1" showInputMessage="1" showErrorMessage="1" sqref="B33 D33:J33" xr:uid="{00000000-0002-0000-1000-000010000000}">
      <formula1>$D$33:$J$33</formula1>
      <formula2>0</formula2>
    </dataValidation>
    <dataValidation type="list" allowBlank="1" showInputMessage="1" showErrorMessage="1" sqref="B34" xr:uid="{00000000-0002-0000-1000-000011000000}">
      <formula1>$D$34:$G$34</formula1>
      <formula2>0</formula2>
    </dataValidation>
    <dataValidation type="list" allowBlank="1" showInputMessage="1" showErrorMessage="1" sqref="B36" xr:uid="{00000000-0002-0000-1000-000012000000}">
      <formula1>$D$36:$J$36</formula1>
      <formula2>0</formula2>
    </dataValidation>
    <dataValidation type="list" allowBlank="1" showInputMessage="1" showErrorMessage="1" sqref="B37" xr:uid="{00000000-0002-0000-1000-000013000000}">
      <formula1>$D$37:$H$37</formula1>
      <formula2>0</formula2>
    </dataValidation>
    <dataValidation type="list" allowBlank="1" showInputMessage="1" showErrorMessage="1" sqref="B40" xr:uid="{00000000-0002-0000-1000-000014000000}">
      <formula1>$D$40:$F$40</formula1>
      <formula2>0</formula2>
    </dataValidation>
    <dataValidation type="list" allowBlank="1" showInputMessage="1" showErrorMessage="1" sqref="B41" xr:uid="{00000000-0002-0000-1000-000015000000}">
      <formula1>$D$41:$E$41</formula1>
      <formula2>0</formula2>
    </dataValidation>
    <dataValidation type="list" allowBlank="1" showInputMessage="1" showErrorMessage="1" sqref="B42" xr:uid="{00000000-0002-0000-1000-000016000000}">
      <formula1>$D$42:$E$42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846</v>
      </c>
    </row>
    <row r="6" spans="1:2" ht="15" customHeight="1" x14ac:dyDescent="0.3">
      <c r="A6" s="133" t="s">
        <v>713</v>
      </c>
      <c r="B6" s="134" t="s">
        <v>847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849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850</v>
      </c>
    </row>
    <row r="11" spans="1:2" ht="15" customHeight="1" x14ac:dyDescent="0.3">
      <c r="A11" s="133" t="s">
        <v>725</v>
      </c>
      <c r="B11" s="134" t="s">
        <v>851</v>
      </c>
    </row>
    <row r="12" spans="1:2" ht="15" customHeight="1" x14ac:dyDescent="0.3">
      <c r="A12" s="133" t="s">
        <v>34</v>
      </c>
      <c r="B12" s="134" t="s">
        <v>852</v>
      </c>
    </row>
    <row r="13" spans="1:2" ht="15" customHeight="1" x14ac:dyDescent="0.3">
      <c r="A13" s="133" t="s">
        <v>732</v>
      </c>
      <c r="B13" s="134" t="s">
        <v>735</v>
      </c>
    </row>
    <row r="14" spans="1:2" ht="15" customHeight="1" x14ac:dyDescent="0.3">
      <c r="A14" s="133" t="s">
        <v>39</v>
      </c>
      <c r="B14" s="134" t="s">
        <v>853</v>
      </c>
    </row>
    <row r="15" spans="1:2" ht="21.75" customHeight="1" x14ac:dyDescent="0.3">
      <c r="A15" s="147" t="s">
        <v>737</v>
      </c>
      <c r="B15" s="147"/>
    </row>
    <row r="16" spans="1:2" ht="45.75" customHeight="1" x14ac:dyDescent="0.3">
      <c r="A16" s="133" t="s">
        <v>738</v>
      </c>
      <c r="B16" s="134" t="s">
        <v>854</v>
      </c>
    </row>
    <row r="17" spans="1:2" ht="30" customHeight="1" x14ac:dyDescent="0.3">
      <c r="A17" s="133" t="s">
        <v>743</v>
      </c>
      <c r="B17" s="134" t="s">
        <v>855</v>
      </c>
    </row>
    <row r="18" spans="1:2" ht="15" customHeight="1" x14ac:dyDescent="0.3">
      <c r="A18" s="133" t="s">
        <v>745</v>
      </c>
      <c r="B18" s="134" t="s">
        <v>856</v>
      </c>
    </row>
    <row r="19" spans="1:2" ht="15" customHeight="1" x14ac:dyDescent="0.3">
      <c r="A19" s="133" t="s">
        <v>750</v>
      </c>
      <c r="B19" s="134" t="s">
        <v>857</v>
      </c>
    </row>
    <row r="20" spans="1:2" ht="30" customHeight="1" x14ac:dyDescent="0.3">
      <c r="A20" s="133" t="s">
        <v>752</v>
      </c>
      <c r="B20" s="134" t="s">
        <v>858</v>
      </c>
    </row>
    <row r="21" spans="1:2" ht="45.75" customHeight="1" x14ac:dyDescent="0.3">
      <c r="A21" s="133" t="s">
        <v>754</v>
      </c>
      <c r="B21" s="134" t="s">
        <v>859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860</v>
      </c>
    </row>
    <row r="24" spans="1:2" ht="15" customHeight="1" x14ac:dyDescent="0.3">
      <c r="A24" s="133" t="s">
        <v>765</v>
      </c>
      <c r="B24" s="134" t="s">
        <v>861</v>
      </c>
    </row>
    <row r="25" spans="1:2" ht="15" customHeight="1" x14ac:dyDescent="0.3">
      <c r="A25" s="133" t="s">
        <v>768</v>
      </c>
      <c r="B25" s="134" t="s">
        <v>862</v>
      </c>
    </row>
    <row r="26" spans="1:2" ht="15" customHeight="1" x14ac:dyDescent="0.3">
      <c r="A26" s="133" t="s">
        <v>772</v>
      </c>
      <c r="B26" s="134" t="s">
        <v>863</v>
      </c>
    </row>
    <row r="27" spans="1:2" ht="30" customHeight="1" x14ac:dyDescent="0.3">
      <c r="A27" s="133" t="s">
        <v>777</v>
      </c>
      <c r="B27" s="134" t="s">
        <v>864</v>
      </c>
    </row>
    <row r="28" spans="1:2" ht="15" customHeight="1" x14ac:dyDescent="0.3">
      <c r="A28" s="133" t="s">
        <v>783</v>
      </c>
      <c r="B28" s="134" t="s">
        <v>865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866</v>
      </c>
    </row>
    <row r="31" spans="1:2" ht="15" customHeight="1" x14ac:dyDescent="0.3">
      <c r="A31" s="133" t="s">
        <v>59</v>
      </c>
      <c r="B31" s="134" t="s">
        <v>867</v>
      </c>
    </row>
    <row r="32" spans="1:2" ht="15" customHeight="1" x14ac:dyDescent="0.3">
      <c r="A32" s="133" t="s">
        <v>63</v>
      </c>
      <c r="B32" s="134" t="s">
        <v>65</v>
      </c>
    </row>
    <row r="33" spans="1:2" ht="15" customHeight="1" x14ac:dyDescent="0.3">
      <c r="A33" s="133" t="s">
        <v>796</v>
      </c>
      <c r="B33" s="134" t="s">
        <v>868</v>
      </c>
    </row>
    <row r="34" spans="1:2" ht="15" customHeight="1" x14ac:dyDescent="0.3">
      <c r="A34" s="133" t="s">
        <v>800</v>
      </c>
      <c r="B34" s="134" t="s">
        <v>735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804</v>
      </c>
    </row>
    <row r="37" spans="1:2" ht="15" customHeight="1" x14ac:dyDescent="0.3">
      <c r="A37" s="133" t="s">
        <v>810</v>
      </c>
      <c r="B37" s="134" t="s">
        <v>812</v>
      </c>
    </row>
    <row r="38" spans="1:2" ht="15" customHeight="1" x14ac:dyDescent="0.3">
      <c r="A38" s="133" t="s">
        <v>816</v>
      </c>
      <c r="B38" s="134" t="s">
        <v>869</v>
      </c>
    </row>
    <row r="39" spans="1:2" ht="15" customHeight="1" x14ac:dyDescent="0.3">
      <c r="A39" s="133" t="s">
        <v>818</v>
      </c>
      <c r="B39" s="134" t="s">
        <v>870</v>
      </c>
    </row>
    <row r="40" spans="1:2" ht="30" customHeight="1" x14ac:dyDescent="0.3">
      <c r="A40" s="133" t="s">
        <v>820</v>
      </c>
      <c r="B40" s="134" t="s">
        <v>871</v>
      </c>
    </row>
    <row r="41" spans="1:2" ht="15" customHeight="1" x14ac:dyDescent="0.3">
      <c r="A41" s="133" t="s">
        <v>45</v>
      </c>
      <c r="B41" s="134" t="s">
        <v>872</v>
      </c>
    </row>
    <row r="42" spans="1:2" ht="15" customHeight="1" x14ac:dyDescent="0.3">
      <c r="A42" s="133" t="s">
        <v>829</v>
      </c>
      <c r="B42" s="134" t="s">
        <v>873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81</v>
      </c>
    </row>
    <row r="45" spans="1:2" ht="15" customHeight="1" x14ac:dyDescent="0.3">
      <c r="A45" s="133" t="s">
        <v>834</v>
      </c>
      <c r="B45" s="134" t="s">
        <v>874</v>
      </c>
    </row>
    <row r="46" spans="1:2" ht="15" customHeight="1" x14ac:dyDescent="0.3">
      <c r="A46" s="133" t="s">
        <v>835</v>
      </c>
      <c r="B46" s="134" t="s">
        <v>875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876</v>
      </c>
    </row>
    <row r="49" spans="1:2" ht="15" customHeight="1" x14ac:dyDescent="0.3">
      <c r="A49" s="133" t="s">
        <v>840</v>
      </c>
      <c r="B49" s="134" t="s">
        <v>877</v>
      </c>
    </row>
    <row r="50" spans="1:2" ht="15" customHeight="1" x14ac:dyDescent="0.3">
      <c r="A50" s="133" t="s">
        <v>842</v>
      </c>
      <c r="B50" s="134" t="s">
        <v>878</v>
      </c>
    </row>
    <row r="51" spans="1:2" ht="15" customHeight="1" x14ac:dyDescent="0.3">
      <c r="A51" s="133" t="s">
        <v>879</v>
      </c>
      <c r="B51" s="134" t="s">
        <v>880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882</v>
      </c>
    </row>
    <row r="6" spans="1:2" ht="15" customHeight="1" x14ac:dyDescent="0.3">
      <c r="A6" s="133" t="s">
        <v>713</v>
      </c>
      <c r="B6" s="134" t="s">
        <v>883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884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885</v>
      </c>
    </row>
    <row r="11" spans="1:2" ht="15" customHeight="1" x14ac:dyDescent="0.3">
      <c r="A11" s="133" t="s">
        <v>725</v>
      </c>
      <c r="B11" s="134" t="s">
        <v>726</v>
      </c>
    </row>
    <row r="12" spans="1:2" ht="15" customHeight="1" x14ac:dyDescent="0.3">
      <c r="A12" s="133" t="s">
        <v>34</v>
      </c>
      <c r="B12" s="134" t="s">
        <v>886</v>
      </c>
    </row>
    <row r="13" spans="1:2" ht="15" customHeight="1" x14ac:dyDescent="0.3">
      <c r="A13" s="133" t="s">
        <v>732</v>
      </c>
      <c r="B13" s="134" t="s">
        <v>887</v>
      </c>
    </row>
    <row r="14" spans="1:2" ht="15" customHeight="1" x14ac:dyDescent="0.3">
      <c r="A14" s="133" t="s">
        <v>39</v>
      </c>
      <c r="B14" s="134" t="s">
        <v>888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889</v>
      </c>
    </row>
    <row r="17" spans="1:2" ht="30" customHeight="1" x14ac:dyDescent="0.3">
      <c r="A17" s="133" t="s">
        <v>743</v>
      </c>
      <c r="B17" s="134" t="s">
        <v>890</v>
      </c>
    </row>
    <row r="18" spans="1:2" ht="15" customHeight="1" x14ac:dyDescent="0.3">
      <c r="A18" s="133" t="s">
        <v>745</v>
      </c>
      <c r="B18" s="134" t="s">
        <v>891</v>
      </c>
    </row>
    <row r="19" spans="1:2" ht="15" customHeight="1" x14ac:dyDescent="0.3">
      <c r="A19" s="133" t="s">
        <v>750</v>
      </c>
      <c r="B19" s="134" t="s">
        <v>892</v>
      </c>
    </row>
    <row r="20" spans="1:2" ht="15" customHeight="1" x14ac:dyDescent="0.3">
      <c r="A20" s="133" t="s">
        <v>752</v>
      </c>
      <c r="B20" s="134" t="s">
        <v>893</v>
      </c>
    </row>
    <row r="21" spans="1:2" ht="45.75" customHeight="1" x14ac:dyDescent="0.3">
      <c r="A21" s="133" t="s">
        <v>754</v>
      </c>
      <c r="B21" s="134" t="s">
        <v>894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895</v>
      </c>
    </row>
    <row r="24" spans="1:2" ht="15" customHeight="1" x14ac:dyDescent="0.3">
      <c r="A24" s="133" t="s">
        <v>765</v>
      </c>
      <c r="B24" s="134" t="s">
        <v>896</v>
      </c>
    </row>
    <row r="25" spans="1:2" ht="15" customHeight="1" x14ac:dyDescent="0.3">
      <c r="A25" s="133" t="s">
        <v>768</v>
      </c>
      <c r="B25" s="134" t="s">
        <v>897</v>
      </c>
    </row>
    <row r="26" spans="1:2" ht="15" customHeight="1" x14ac:dyDescent="0.3">
      <c r="A26" s="133" t="s">
        <v>772</v>
      </c>
      <c r="B26" s="134" t="s">
        <v>898</v>
      </c>
    </row>
    <row r="27" spans="1:2" ht="15" customHeight="1" x14ac:dyDescent="0.3">
      <c r="A27" s="133" t="s">
        <v>777</v>
      </c>
      <c r="B27" s="134" t="s">
        <v>899</v>
      </c>
    </row>
    <row r="28" spans="1:2" ht="15" customHeight="1" x14ac:dyDescent="0.3">
      <c r="A28" s="133" t="s">
        <v>783</v>
      </c>
      <c r="B28" s="134" t="s">
        <v>900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901</v>
      </c>
    </row>
    <row r="31" spans="1:2" ht="15" customHeight="1" x14ac:dyDescent="0.3">
      <c r="A31" s="133" t="s">
        <v>59</v>
      </c>
      <c r="B31" s="134" t="s">
        <v>902</v>
      </c>
    </row>
    <row r="32" spans="1:2" ht="15" customHeight="1" x14ac:dyDescent="0.3">
      <c r="A32" s="133" t="s">
        <v>63</v>
      </c>
      <c r="B32" s="134" t="s">
        <v>903</v>
      </c>
    </row>
    <row r="33" spans="1:2" ht="15" customHeight="1" x14ac:dyDescent="0.3">
      <c r="A33" s="133" t="s">
        <v>796</v>
      </c>
      <c r="B33" s="134" t="s">
        <v>904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804</v>
      </c>
    </row>
    <row r="37" spans="1:2" ht="15" customHeight="1" x14ac:dyDescent="0.3">
      <c r="A37" s="133" t="s">
        <v>810</v>
      </c>
      <c r="B37" s="134" t="s">
        <v>905</v>
      </c>
    </row>
    <row r="38" spans="1:2" ht="15" customHeight="1" x14ac:dyDescent="0.3">
      <c r="A38" s="133" t="s">
        <v>816</v>
      </c>
      <c r="B38" s="134" t="s">
        <v>906</v>
      </c>
    </row>
    <row r="39" spans="1:2" ht="15" customHeight="1" x14ac:dyDescent="0.3">
      <c r="A39" s="133" t="s">
        <v>818</v>
      </c>
      <c r="B39" s="134" t="s">
        <v>907</v>
      </c>
    </row>
    <row r="40" spans="1:2" ht="15" customHeight="1" x14ac:dyDescent="0.3">
      <c r="A40" s="133" t="s">
        <v>820</v>
      </c>
      <c r="B40" s="134" t="s">
        <v>908</v>
      </c>
    </row>
    <row r="41" spans="1:2" ht="15" customHeight="1" x14ac:dyDescent="0.3">
      <c r="A41" s="133" t="s">
        <v>45</v>
      </c>
      <c r="B41" s="134" t="s">
        <v>909</v>
      </c>
    </row>
    <row r="42" spans="1:2" ht="15" customHeight="1" x14ac:dyDescent="0.3">
      <c r="A42" s="133" t="s">
        <v>829</v>
      </c>
      <c r="B42" s="134" t="s">
        <v>910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911</v>
      </c>
    </row>
    <row r="45" spans="1:2" ht="15" customHeight="1" x14ac:dyDescent="0.3">
      <c r="A45" s="133" t="s">
        <v>834</v>
      </c>
      <c r="B45" s="134" t="s">
        <v>912</v>
      </c>
    </row>
    <row r="46" spans="1:2" ht="15" customHeight="1" x14ac:dyDescent="0.3">
      <c r="A46" s="133" t="s">
        <v>835</v>
      </c>
      <c r="B46" s="134" t="s">
        <v>913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914</v>
      </c>
    </row>
    <row r="49" spans="1:2" ht="15" customHeight="1" x14ac:dyDescent="0.3">
      <c r="A49" s="133" t="s">
        <v>840</v>
      </c>
      <c r="B49" s="134" t="s">
        <v>915</v>
      </c>
    </row>
    <row r="50" spans="1:2" ht="15" customHeight="1" x14ac:dyDescent="0.3">
      <c r="A50" s="133" t="s">
        <v>842</v>
      </c>
      <c r="B50" s="134" t="s">
        <v>916</v>
      </c>
    </row>
    <row r="51" spans="1:2" ht="15" customHeight="1" x14ac:dyDescent="0.3">
      <c r="A51" s="133" t="s">
        <v>879</v>
      </c>
      <c r="B51" s="134" t="s">
        <v>917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918</v>
      </c>
    </row>
    <row r="6" spans="1:2" ht="15" customHeight="1" x14ac:dyDescent="0.3">
      <c r="A6" s="133" t="s">
        <v>713</v>
      </c>
      <c r="B6" s="134" t="s">
        <v>919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920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921</v>
      </c>
    </row>
    <row r="11" spans="1:2" ht="15" customHeight="1" x14ac:dyDescent="0.3">
      <c r="A11" s="133" t="s">
        <v>725</v>
      </c>
      <c r="B11" s="134" t="s">
        <v>922</v>
      </c>
    </row>
    <row r="12" spans="1:2" ht="15" customHeight="1" x14ac:dyDescent="0.3">
      <c r="A12" s="133" t="s">
        <v>34</v>
      </c>
      <c r="B12" s="134" t="s">
        <v>923</v>
      </c>
    </row>
    <row r="13" spans="1:2" ht="15" customHeight="1" x14ac:dyDescent="0.3">
      <c r="A13" s="133" t="s">
        <v>732</v>
      </c>
      <c r="B13" s="134" t="s">
        <v>733</v>
      </c>
    </row>
    <row r="14" spans="1:2" ht="15" customHeight="1" x14ac:dyDescent="0.3">
      <c r="A14" s="133" t="s">
        <v>39</v>
      </c>
      <c r="B14" s="134" t="s">
        <v>924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925</v>
      </c>
    </row>
    <row r="17" spans="1:2" ht="30" customHeight="1" x14ac:dyDescent="0.3">
      <c r="A17" s="133" t="s">
        <v>743</v>
      </c>
      <c r="B17" s="134" t="s">
        <v>926</v>
      </c>
    </row>
    <row r="18" spans="1:2" ht="15" customHeight="1" x14ac:dyDescent="0.3">
      <c r="A18" s="133" t="s">
        <v>745</v>
      </c>
      <c r="B18" s="134" t="s">
        <v>927</v>
      </c>
    </row>
    <row r="19" spans="1:2" ht="15" customHeight="1" x14ac:dyDescent="0.3">
      <c r="A19" s="133" t="s">
        <v>750</v>
      </c>
      <c r="B19" s="134" t="s">
        <v>928</v>
      </c>
    </row>
    <row r="20" spans="1:2" ht="30" customHeight="1" x14ac:dyDescent="0.3">
      <c r="A20" s="133" t="s">
        <v>752</v>
      </c>
      <c r="B20" s="134" t="s">
        <v>929</v>
      </c>
    </row>
    <row r="21" spans="1:2" ht="45.75" customHeight="1" x14ac:dyDescent="0.3">
      <c r="A21" s="133" t="s">
        <v>754</v>
      </c>
      <c r="B21" s="134" t="s">
        <v>930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931</v>
      </c>
    </row>
    <row r="24" spans="1:2" ht="15" customHeight="1" x14ac:dyDescent="0.3">
      <c r="A24" s="133" t="s">
        <v>765</v>
      </c>
      <c r="B24" s="134" t="s">
        <v>932</v>
      </c>
    </row>
    <row r="25" spans="1:2" ht="15" customHeight="1" x14ac:dyDescent="0.3">
      <c r="A25" s="133" t="s">
        <v>768</v>
      </c>
      <c r="B25" s="134" t="s">
        <v>933</v>
      </c>
    </row>
    <row r="26" spans="1:2" ht="15" customHeight="1" x14ac:dyDescent="0.3">
      <c r="A26" s="133" t="s">
        <v>772</v>
      </c>
      <c r="B26" s="134" t="s">
        <v>934</v>
      </c>
    </row>
    <row r="27" spans="1:2" ht="30" customHeight="1" x14ac:dyDescent="0.3">
      <c r="A27" s="133" t="s">
        <v>777</v>
      </c>
      <c r="B27" s="134" t="s">
        <v>935</v>
      </c>
    </row>
    <row r="28" spans="1:2" ht="15" customHeight="1" x14ac:dyDescent="0.3">
      <c r="A28" s="133" t="s">
        <v>783</v>
      </c>
      <c r="B28" s="134" t="s">
        <v>936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937</v>
      </c>
    </row>
    <row r="31" spans="1:2" ht="15" customHeight="1" x14ac:dyDescent="0.3">
      <c r="A31" s="133" t="s">
        <v>59</v>
      </c>
      <c r="B31" s="134" t="s">
        <v>938</v>
      </c>
    </row>
    <row r="32" spans="1:2" ht="15" customHeight="1" x14ac:dyDescent="0.3">
      <c r="A32" s="133" t="s">
        <v>63</v>
      </c>
      <c r="B32" s="134" t="s">
        <v>66</v>
      </c>
    </row>
    <row r="33" spans="1:2" ht="15" customHeight="1" x14ac:dyDescent="0.3">
      <c r="A33" s="133" t="s">
        <v>796</v>
      </c>
      <c r="B33" s="134" t="s">
        <v>939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803</v>
      </c>
    </row>
    <row r="37" spans="1:2" ht="15" customHeight="1" x14ac:dyDescent="0.3">
      <c r="A37" s="133" t="s">
        <v>810</v>
      </c>
      <c r="B37" s="134" t="s">
        <v>179</v>
      </c>
    </row>
    <row r="38" spans="1:2" ht="15" customHeight="1" x14ac:dyDescent="0.3">
      <c r="A38" s="133" t="s">
        <v>816</v>
      </c>
      <c r="B38" s="134" t="s">
        <v>940</v>
      </c>
    </row>
    <row r="39" spans="1:2" ht="15" customHeight="1" x14ac:dyDescent="0.3">
      <c r="A39" s="133" t="s">
        <v>818</v>
      </c>
      <c r="B39" s="134" t="s">
        <v>941</v>
      </c>
    </row>
    <row r="40" spans="1:2" ht="30" customHeight="1" x14ac:dyDescent="0.3">
      <c r="A40" s="133" t="s">
        <v>820</v>
      </c>
      <c r="B40" s="134" t="s">
        <v>942</v>
      </c>
    </row>
    <row r="41" spans="1:2" ht="15" customHeight="1" x14ac:dyDescent="0.3">
      <c r="A41" s="133" t="s">
        <v>45</v>
      </c>
      <c r="B41" s="134" t="s">
        <v>943</v>
      </c>
    </row>
    <row r="42" spans="1:2" ht="30" customHeight="1" x14ac:dyDescent="0.3">
      <c r="A42" s="133" t="s">
        <v>829</v>
      </c>
      <c r="B42" s="134" t="s">
        <v>944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945</v>
      </c>
    </row>
    <row r="45" spans="1:2" ht="15" customHeight="1" x14ac:dyDescent="0.3">
      <c r="A45" s="133" t="s">
        <v>834</v>
      </c>
      <c r="B45" s="134" t="s">
        <v>946</v>
      </c>
    </row>
    <row r="46" spans="1:2" ht="30" customHeight="1" x14ac:dyDescent="0.3">
      <c r="A46" s="133" t="s">
        <v>835</v>
      </c>
      <c r="B46" s="134" t="s">
        <v>947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948</v>
      </c>
    </row>
    <row r="49" spans="1:2" ht="15" customHeight="1" x14ac:dyDescent="0.3">
      <c r="A49" s="133" t="s">
        <v>840</v>
      </c>
      <c r="B49" s="134" t="s">
        <v>949</v>
      </c>
    </row>
    <row r="50" spans="1:2" ht="30" customHeight="1" x14ac:dyDescent="0.3">
      <c r="A50" s="133" t="s">
        <v>842</v>
      </c>
      <c r="B50" s="134" t="s">
        <v>950</v>
      </c>
    </row>
    <row r="51" spans="1:2" ht="15" customHeight="1" x14ac:dyDescent="0.3">
      <c r="A51" s="133" t="s">
        <v>879</v>
      </c>
      <c r="B51" s="134" t="s">
        <v>951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952</v>
      </c>
    </row>
    <row r="6" spans="1:2" ht="15" customHeight="1" x14ac:dyDescent="0.3">
      <c r="A6" s="133" t="s">
        <v>713</v>
      </c>
      <c r="B6" s="134" t="s">
        <v>953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954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955</v>
      </c>
    </row>
    <row r="11" spans="1:2" ht="15" customHeight="1" x14ac:dyDescent="0.3">
      <c r="A11" s="133" t="s">
        <v>725</v>
      </c>
      <c r="B11" s="134" t="s">
        <v>956</v>
      </c>
    </row>
    <row r="12" spans="1:2" ht="15" customHeight="1" x14ac:dyDescent="0.3">
      <c r="A12" s="133" t="s">
        <v>34</v>
      </c>
      <c r="B12" s="134" t="s">
        <v>957</v>
      </c>
    </row>
    <row r="13" spans="1:2" ht="15" customHeight="1" x14ac:dyDescent="0.3">
      <c r="A13" s="133" t="s">
        <v>732</v>
      </c>
      <c r="B13" s="134" t="s">
        <v>733</v>
      </c>
    </row>
    <row r="14" spans="1:2" ht="15" customHeight="1" x14ac:dyDescent="0.3">
      <c r="A14" s="133" t="s">
        <v>39</v>
      </c>
      <c r="B14" s="134" t="s">
        <v>958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959</v>
      </c>
    </row>
    <row r="17" spans="1:2" ht="30" customHeight="1" x14ac:dyDescent="0.3">
      <c r="A17" s="133" t="s">
        <v>743</v>
      </c>
      <c r="B17" s="134" t="s">
        <v>960</v>
      </c>
    </row>
    <row r="18" spans="1:2" ht="15" customHeight="1" x14ac:dyDescent="0.3">
      <c r="A18" s="133" t="s">
        <v>745</v>
      </c>
      <c r="B18" s="134" t="s">
        <v>961</v>
      </c>
    </row>
    <row r="19" spans="1:2" ht="15" customHeight="1" x14ac:dyDescent="0.3">
      <c r="A19" s="133" t="s">
        <v>750</v>
      </c>
      <c r="B19" s="134" t="s">
        <v>892</v>
      </c>
    </row>
    <row r="20" spans="1:2" ht="15" customHeight="1" x14ac:dyDescent="0.3">
      <c r="A20" s="133" t="s">
        <v>752</v>
      </c>
      <c r="B20" s="134" t="s">
        <v>962</v>
      </c>
    </row>
    <row r="21" spans="1:2" ht="45.75" customHeight="1" x14ac:dyDescent="0.3">
      <c r="A21" s="133" t="s">
        <v>754</v>
      </c>
      <c r="B21" s="134" t="s">
        <v>963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964</v>
      </c>
    </row>
    <row r="24" spans="1:2" ht="15" customHeight="1" x14ac:dyDescent="0.3">
      <c r="A24" s="133" t="s">
        <v>765</v>
      </c>
      <c r="B24" s="134" t="s">
        <v>965</v>
      </c>
    </row>
    <row r="25" spans="1:2" ht="15" customHeight="1" x14ac:dyDescent="0.3">
      <c r="A25" s="133" t="s">
        <v>768</v>
      </c>
      <c r="B25" s="134" t="s">
        <v>966</v>
      </c>
    </row>
    <row r="26" spans="1:2" ht="15" customHeight="1" x14ac:dyDescent="0.3">
      <c r="A26" s="133" t="s">
        <v>772</v>
      </c>
      <c r="B26" s="134" t="s">
        <v>967</v>
      </c>
    </row>
    <row r="27" spans="1:2" ht="30" customHeight="1" x14ac:dyDescent="0.3">
      <c r="A27" s="133" t="s">
        <v>777</v>
      </c>
      <c r="B27" s="134" t="s">
        <v>968</v>
      </c>
    </row>
    <row r="28" spans="1:2" ht="15" customHeight="1" x14ac:dyDescent="0.3">
      <c r="A28" s="133" t="s">
        <v>783</v>
      </c>
      <c r="B28" s="134" t="s">
        <v>969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901</v>
      </c>
    </row>
    <row r="31" spans="1:2" ht="15" customHeight="1" x14ac:dyDescent="0.3">
      <c r="A31" s="133" t="s">
        <v>59</v>
      </c>
      <c r="B31" s="134" t="s">
        <v>902</v>
      </c>
    </row>
    <row r="32" spans="1:2" ht="15" customHeight="1" x14ac:dyDescent="0.3">
      <c r="A32" s="133" t="s">
        <v>63</v>
      </c>
      <c r="B32" s="134" t="s">
        <v>970</v>
      </c>
    </row>
    <row r="33" spans="1:2" ht="15" customHeight="1" x14ac:dyDescent="0.3">
      <c r="A33" s="133" t="s">
        <v>796</v>
      </c>
      <c r="B33" s="134" t="s">
        <v>904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805</v>
      </c>
    </row>
    <row r="37" spans="1:2" ht="15" customHeight="1" x14ac:dyDescent="0.3">
      <c r="A37" s="133" t="s">
        <v>810</v>
      </c>
      <c r="B37" s="134" t="s">
        <v>905</v>
      </c>
    </row>
    <row r="38" spans="1:2" ht="15" customHeight="1" x14ac:dyDescent="0.3">
      <c r="A38" s="133" t="s">
        <v>816</v>
      </c>
      <c r="B38" s="134" t="s">
        <v>971</v>
      </c>
    </row>
    <row r="39" spans="1:2" ht="15" customHeight="1" x14ac:dyDescent="0.3">
      <c r="A39" s="133" t="s">
        <v>818</v>
      </c>
      <c r="B39" s="134" t="s">
        <v>972</v>
      </c>
    </row>
    <row r="40" spans="1:2" ht="30" customHeight="1" x14ac:dyDescent="0.3">
      <c r="A40" s="133" t="s">
        <v>820</v>
      </c>
      <c r="B40" s="134" t="s">
        <v>973</v>
      </c>
    </row>
    <row r="41" spans="1:2" ht="15" customHeight="1" x14ac:dyDescent="0.3">
      <c r="A41" s="133" t="s">
        <v>45</v>
      </c>
      <c r="B41" s="134" t="s">
        <v>909</v>
      </c>
    </row>
    <row r="42" spans="1:2" ht="15" customHeight="1" x14ac:dyDescent="0.3">
      <c r="A42" s="133" t="s">
        <v>829</v>
      </c>
      <c r="B42" s="134" t="s">
        <v>974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975</v>
      </c>
    </row>
    <row r="45" spans="1:2" ht="15" customHeight="1" x14ac:dyDescent="0.3">
      <c r="A45" s="133" t="s">
        <v>834</v>
      </c>
      <c r="B45" s="134" t="s">
        <v>976</v>
      </c>
    </row>
    <row r="46" spans="1:2" ht="15" customHeight="1" x14ac:dyDescent="0.3">
      <c r="A46" s="133" t="s">
        <v>835</v>
      </c>
      <c r="B46" s="134" t="s">
        <v>977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914</v>
      </c>
    </row>
    <row r="49" spans="1:2" ht="15" customHeight="1" x14ac:dyDescent="0.3">
      <c r="A49" s="133" t="s">
        <v>840</v>
      </c>
      <c r="B49" s="134" t="s">
        <v>978</v>
      </c>
    </row>
    <row r="50" spans="1:2" ht="15" customHeight="1" x14ac:dyDescent="0.3">
      <c r="A50" s="133" t="s">
        <v>842</v>
      </c>
      <c r="B50" s="134" t="s">
        <v>979</v>
      </c>
    </row>
    <row r="51" spans="1:2" ht="15" customHeight="1" x14ac:dyDescent="0.3">
      <c r="A51" s="133" t="s">
        <v>879</v>
      </c>
      <c r="B51" s="134" t="s">
        <v>980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981</v>
      </c>
    </row>
    <row r="6" spans="1:2" ht="15" customHeight="1" x14ac:dyDescent="0.3">
      <c r="A6" s="133" t="s">
        <v>713</v>
      </c>
      <c r="B6" s="134" t="s">
        <v>982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983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984</v>
      </c>
    </row>
    <row r="11" spans="1:2" ht="15" customHeight="1" x14ac:dyDescent="0.3">
      <c r="A11" s="133" t="s">
        <v>725</v>
      </c>
      <c r="B11" s="134" t="s">
        <v>726</v>
      </c>
    </row>
    <row r="12" spans="1:2" ht="15" customHeight="1" x14ac:dyDescent="0.3">
      <c r="A12" s="133" t="s">
        <v>34</v>
      </c>
      <c r="B12" s="134" t="s">
        <v>985</v>
      </c>
    </row>
    <row r="13" spans="1:2" ht="15" customHeight="1" x14ac:dyDescent="0.3">
      <c r="A13" s="133" t="s">
        <v>732</v>
      </c>
      <c r="B13" s="134" t="s">
        <v>986</v>
      </c>
    </row>
    <row r="14" spans="1:2" ht="15" customHeight="1" x14ac:dyDescent="0.3">
      <c r="A14" s="133" t="s">
        <v>39</v>
      </c>
      <c r="B14" s="134" t="s">
        <v>987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988</v>
      </c>
    </row>
    <row r="17" spans="1:2" ht="30" customHeight="1" x14ac:dyDescent="0.3">
      <c r="A17" s="133" t="s">
        <v>743</v>
      </c>
      <c r="B17" s="134" t="s">
        <v>989</v>
      </c>
    </row>
    <row r="18" spans="1:2" ht="15" customHeight="1" x14ac:dyDescent="0.3">
      <c r="A18" s="133" t="s">
        <v>745</v>
      </c>
      <c r="B18" s="134" t="s">
        <v>990</v>
      </c>
    </row>
    <row r="19" spans="1:2" ht="15" customHeight="1" x14ac:dyDescent="0.3">
      <c r="A19" s="133" t="s">
        <v>750</v>
      </c>
      <c r="B19" s="134" t="s">
        <v>991</v>
      </c>
    </row>
    <row r="20" spans="1:2" ht="15" customHeight="1" x14ac:dyDescent="0.3">
      <c r="A20" s="133" t="s">
        <v>752</v>
      </c>
      <c r="B20" s="134" t="s">
        <v>992</v>
      </c>
    </row>
    <row r="21" spans="1:2" ht="30" customHeight="1" x14ac:dyDescent="0.3">
      <c r="A21" s="133" t="s">
        <v>754</v>
      </c>
      <c r="B21" s="134" t="s">
        <v>993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994</v>
      </c>
    </row>
    <row r="24" spans="1:2" ht="15" customHeight="1" x14ac:dyDescent="0.3">
      <c r="A24" s="133" t="s">
        <v>765</v>
      </c>
      <c r="B24" s="134" t="s">
        <v>995</v>
      </c>
    </row>
    <row r="25" spans="1:2" ht="15" customHeight="1" x14ac:dyDescent="0.3">
      <c r="A25" s="133" t="s">
        <v>768</v>
      </c>
      <c r="B25" s="134" t="s">
        <v>996</v>
      </c>
    </row>
    <row r="26" spans="1:2" ht="15" customHeight="1" x14ac:dyDescent="0.3">
      <c r="A26" s="133" t="s">
        <v>772</v>
      </c>
      <c r="B26" s="134" t="s">
        <v>997</v>
      </c>
    </row>
    <row r="27" spans="1:2" ht="15" customHeight="1" x14ac:dyDescent="0.3">
      <c r="A27" s="133" t="s">
        <v>777</v>
      </c>
      <c r="B27" s="134" t="s">
        <v>998</v>
      </c>
    </row>
    <row r="28" spans="1:2" ht="15" customHeight="1" x14ac:dyDescent="0.3">
      <c r="A28" s="133" t="s">
        <v>783</v>
      </c>
      <c r="B28" s="134" t="s">
        <v>131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56</v>
      </c>
    </row>
    <row r="31" spans="1:2" ht="15" customHeight="1" x14ac:dyDescent="0.3">
      <c r="A31" s="133" t="s">
        <v>59</v>
      </c>
      <c r="B31" s="134" t="s">
        <v>792</v>
      </c>
    </row>
    <row r="32" spans="1:2" ht="15" customHeight="1" x14ac:dyDescent="0.3">
      <c r="A32" s="133" t="s">
        <v>63</v>
      </c>
      <c r="B32" s="134" t="s">
        <v>999</v>
      </c>
    </row>
    <row r="33" spans="1:2" ht="15" customHeight="1" x14ac:dyDescent="0.3">
      <c r="A33" s="133" t="s">
        <v>796</v>
      </c>
      <c r="B33" s="134" t="s">
        <v>1000</v>
      </c>
    </row>
    <row r="34" spans="1:2" ht="15" customHeight="1" x14ac:dyDescent="0.3">
      <c r="A34" s="133" t="s">
        <v>800</v>
      </c>
      <c r="B34" s="134" t="s">
        <v>1001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804</v>
      </c>
    </row>
    <row r="37" spans="1:2" ht="15" customHeight="1" x14ac:dyDescent="0.3">
      <c r="A37" s="133" t="s">
        <v>810</v>
      </c>
      <c r="B37" s="134" t="s">
        <v>1002</v>
      </c>
    </row>
    <row r="38" spans="1:2" ht="15" customHeight="1" x14ac:dyDescent="0.3">
      <c r="A38" s="133" t="s">
        <v>816</v>
      </c>
      <c r="B38" s="134" t="s">
        <v>1003</v>
      </c>
    </row>
    <row r="39" spans="1:2" ht="15" customHeight="1" x14ac:dyDescent="0.3">
      <c r="A39" s="133" t="s">
        <v>818</v>
      </c>
      <c r="B39" s="134" t="s">
        <v>1004</v>
      </c>
    </row>
    <row r="40" spans="1:2" ht="15" customHeight="1" x14ac:dyDescent="0.3">
      <c r="A40" s="133" t="s">
        <v>820</v>
      </c>
      <c r="B40" s="134" t="s">
        <v>1005</v>
      </c>
    </row>
    <row r="41" spans="1:2" ht="15" customHeight="1" x14ac:dyDescent="0.3">
      <c r="A41" s="133" t="s">
        <v>45</v>
      </c>
      <c r="B41" s="134" t="s">
        <v>872</v>
      </c>
    </row>
    <row r="42" spans="1:2" ht="15" customHeight="1" x14ac:dyDescent="0.3">
      <c r="A42" s="133" t="s">
        <v>829</v>
      </c>
      <c r="B42" s="134" t="s">
        <v>1006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81</v>
      </c>
    </row>
    <row r="45" spans="1:2" ht="15" customHeight="1" x14ac:dyDescent="0.3">
      <c r="A45" s="133" t="s">
        <v>834</v>
      </c>
      <c r="B45" s="134" t="s">
        <v>1007</v>
      </c>
    </row>
    <row r="46" spans="1:2" ht="15" customHeight="1" x14ac:dyDescent="0.3">
      <c r="A46" s="133" t="s">
        <v>835</v>
      </c>
      <c r="B46" s="134" t="s">
        <v>1008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914</v>
      </c>
    </row>
    <row r="49" spans="1:2" ht="15" customHeight="1" x14ac:dyDescent="0.3">
      <c r="A49" s="133" t="s">
        <v>840</v>
      </c>
      <c r="B49" s="134" t="s">
        <v>1009</v>
      </c>
    </row>
    <row r="50" spans="1:2" ht="15" customHeight="1" x14ac:dyDescent="0.3">
      <c r="A50" s="133" t="s">
        <v>842</v>
      </c>
      <c r="B50" s="134" t="s">
        <v>1010</v>
      </c>
    </row>
    <row r="51" spans="1:2" ht="15" customHeight="1" x14ac:dyDescent="0.3">
      <c r="A51" s="133" t="s">
        <v>879</v>
      </c>
      <c r="B51" s="134" t="s">
        <v>1011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1012</v>
      </c>
    </row>
    <row r="6" spans="1:2" ht="15" customHeight="1" x14ac:dyDescent="0.3">
      <c r="A6" s="133" t="s">
        <v>713</v>
      </c>
      <c r="B6" s="134" t="s">
        <v>1013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1014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1015</v>
      </c>
    </row>
    <row r="11" spans="1:2" ht="15" customHeight="1" x14ac:dyDescent="0.3">
      <c r="A11" s="133" t="s">
        <v>725</v>
      </c>
      <c r="B11" s="134" t="s">
        <v>956</v>
      </c>
    </row>
    <row r="12" spans="1:2" ht="15" customHeight="1" x14ac:dyDescent="0.3">
      <c r="A12" s="133" t="s">
        <v>34</v>
      </c>
      <c r="B12" s="134" t="s">
        <v>957</v>
      </c>
    </row>
    <row r="13" spans="1:2" ht="15" customHeight="1" x14ac:dyDescent="0.3">
      <c r="A13" s="133" t="s">
        <v>732</v>
      </c>
      <c r="B13" s="134" t="s">
        <v>1016</v>
      </c>
    </row>
    <row r="14" spans="1:2" ht="15" customHeight="1" x14ac:dyDescent="0.3">
      <c r="A14" s="133" t="s">
        <v>39</v>
      </c>
      <c r="B14" s="134" t="s">
        <v>1017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1018</v>
      </c>
    </row>
    <row r="17" spans="1:2" ht="30" customHeight="1" x14ac:dyDescent="0.3">
      <c r="A17" s="133" t="s">
        <v>743</v>
      </c>
      <c r="B17" s="134" t="s">
        <v>1019</v>
      </c>
    </row>
    <row r="18" spans="1:2" ht="15" customHeight="1" x14ac:dyDescent="0.3">
      <c r="A18" s="133" t="s">
        <v>745</v>
      </c>
      <c r="B18" s="134" t="s">
        <v>1020</v>
      </c>
    </row>
    <row r="19" spans="1:2" ht="15" customHeight="1" x14ac:dyDescent="0.3">
      <c r="A19" s="133" t="s">
        <v>750</v>
      </c>
      <c r="B19" s="134" t="s">
        <v>1021</v>
      </c>
    </row>
    <row r="20" spans="1:2" ht="15" customHeight="1" x14ac:dyDescent="0.3">
      <c r="A20" s="133" t="s">
        <v>752</v>
      </c>
      <c r="B20" s="134" t="s">
        <v>1022</v>
      </c>
    </row>
    <row r="21" spans="1:2" ht="45.75" customHeight="1" x14ac:dyDescent="0.3">
      <c r="A21" s="133" t="s">
        <v>754</v>
      </c>
      <c r="B21" s="134" t="s">
        <v>1023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1024</v>
      </c>
    </row>
    <row r="24" spans="1:2" ht="15" customHeight="1" x14ac:dyDescent="0.3">
      <c r="A24" s="133" t="s">
        <v>765</v>
      </c>
      <c r="B24" s="134" t="s">
        <v>1025</v>
      </c>
    </row>
    <row r="25" spans="1:2" ht="15" customHeight="1" x14ac:dyDescent="0.3">
      <c r="A25" s="133" t="s">
        <v>768</v>
      </c>
      <c r="B25" s="134" t="s">
        <v>1026</v>
      </c>
    </row>
    <row r="26" spans="1:2" ht="15" customHeight="1" x14ac:dyDescent="0.3">
      <c r="A26" s="133" t="s">
        <v>772</v>
      </c>
      <c r="B26" s="134" t="s">
        <v>1027</v>
      </c>
    </row>
    <row r="27" spans="1:2" ht="15" customHeight="1" x14ac:dyDescent="0.3">
      <c r="A27" s="133" t="s">
        <v>777</v>
      </c>
      <c r="B27" s="134" t="s">
        <v>1028</v>
      </c>
    </row>
    <row r="28" spans="1:2" ht="30" customHeight="1" x14ac:dyDescent="0.3">
      <c r="A28" s="133" t="s">
        <v>783</v>
      </c>
      <c r="B28" s="134" t="s">
        <v>1029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866</v>
      </c>
    </row>
    <row r="31" spans="1:2" ht="15" customHeight="1" x14ac:dyDescent="0.3">
      <c r="A31" s="133" t="s">
        <v>59</v>
      </c>
      <c r="B31" s="134" t="s">
        <v>792</v>
      </c>
    </row>
    <row r="32" spans="1:2" ht="15" customHeight="1" x14ac:dyDescent="0.3">
      <c r="A32" s="133" t="s">
        <v>63</v>
      </c>
      <c r="B32" s="134" t="s">
        <v>999</v>
      </c>
    </row>
    <row r="33" spans="1:2" ht="15" customHeight="1" x14ac:dyDescent="0.3">
      <c r="A33" s="133" t="s">
        <v>796</v>
      </c>
      <c r="B33" s="134" t="s">
        <v>1030</v>
      </c>
    </row>
    <row r="34" spans="1:2" ht="15" customHeight="1" x14ac:dyDescent="0.3">
      <c r="A34" s="133" t="s">
        <v>800</v>
      </c>
      <c r="B34" s="134" t="s">
        <v>1031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804</v>
      </c>
    </row>
    <row r="37" spans="1:2" ht="15" customHeight="1" x14ac:dyDescent="0.3">
      <c r="A37" s="133" t="s">
        <v>810</v>
      </c>
      <c r="B37" s="134" t="s">
        <v>1032</v>
      </c>
    </row>
    <row r="38" spans="1:2" ht="15" customHeight="1" x14ac:dyDescent="0.3">
      <c r="A38" s="133" t="s">
        <v>816</v>
      </c>
      <c r="B38" s="134" t="s">
        <v>1033</v>
      </c>
    </row>
    <row r="39" spans="1:2" ht="15" customHeight="1" x14ac:dyDescent="0.3">
      <c r="A39" s="133" t="s">
        <v>818</v>
      </c>
      <c r="B39" s="134" t="s">
        <v>1034</v>
      </c>
    </row>
    <row r="40" spans="1:2" ht="30" customHeight="1" x14ac:dyDescent="0.3">
      <c r="A40" s="133" t="s">
        <v>820</v>
      </c>
      <c r="B40" s="134" t="s">
        <v>1035</v>
      </c>
    </row>
    <row r="41" spans="1:2" ht="15" customHeight="1" x14ac:dyDescent="0.3">
      <c r="A41" s="133" t="s">
        <v>45</v>
      </c>
      <c r="B41" s="134" t="s">
        <v>1036</v>
      </c>
    </row>
    <row r="42" spans="1:2" ht="15" customHeight="1" x14ac:dyDescent="0.3">
      <c r="A42" s="133" t="s">
        <v>829</v>
      </c>
      <c r="B42" s="134" t="s">
        <v>1037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81</v>
      </c>
    </row>
    <row r="45" spans="1:2" ht="15" customHeight="1" x14ac:dyDescent="0.3">
      <c r="A45" s="133" t="s">
        <v>834</v>
      </c>
      <c r="B45" s="134" t="s">
        <v>1038</v>
      </c>
    </row>
    <row r="46" spans="1:2" ht="30" customHeight="1" x14ac:dyDescent="0.3">
      <c r="A46" s="133" t="s">
        <v>835</v>
      </c>
      <c r="B46" s="134" t="s">
        <v>1039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1040</v>
      </c>
    </row>
    <row r="49" spans="1:2" ht="15" customHeight="1" x14ac:dyDescent="0.3">
      <c r="A49" s="133" t="s">
        <v>840</v>
      </c>
      <c r="B49" s="134" t="s">
        <v>1041</v>
      </c>
    </row>
    <row r="50" spans="1:2" ht="15" customHeight="1" x14ac:dyDescent="0.3">
      <c r="A50" s="133" t="s">
        <v>842</v>
      </c>
      <c r="B50" s="134" t="s">
        <v>1042</v>
      </c>
    </row>
    <row r="51" spans="1:2" ht="15" customHeight="1" x14ac:dyDescent="0.3">
      <c r="A51" s="133" t="s">
        <v>879</v>
      </c>
      <c r="B51" s="134" t="s">
        <v>1043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1044</v>
      </c>
    </row>
    <row r="6" spans="1:2" ht="15" customHeight="1" x14ac:dyDescent="0.3">
      <c r="A6" s="133" t="s">
        <v>713</v>
      </c>
      <c r="B6" s="134" t="s">
        <v>1045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1046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1047</v>
      </c>
    </row>
    <row r="11" spans="1:2" ht="15" customHeight="1" x14ac:dyDescent="0.3">
      <c r="A11" s="133" t="s">
        <v>725</v>
      </c>
      <c r="B11" s="134" t="s">
        <v>1048</v>
      </c>
    </row>
    <row r="12" spans="1:2" ht="15" customHeight="1" x14ac:dyDescent="0.3">
      <c r="A12" s="133" t="s">
        <v>34</v>
      </c>
      <c r="B12" s="134" t="s">
        <v>1049</v>
      </c>
    </row>
    <row r="13" spans="1:2" ht="15" customHeight="1" x14ac:dyDescent="0.3">
      <c r="A13" s="133" t="s">
        <v>732</v>
      </c>
      <c r="B13" s="134" t="s">
        <v>887</v>
      </c>
    </row>
    <row r="14" spans="1:2" ht="15" customHeight="1" x14ac:dyDescent="0.3">
      <c r="A14" s="133" t="s">
        <v>39</v>
      </c>
      <c r="B14" s="134" t="s">
        <v>1050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1051</v>
      </c>
    </row>
    <row r="17" spans="1:2" ht="30" customHeight="1" x14ac:dyDescent="0.3">
      <c r="A17" s="133" t="s">
        <v>743</v>
      </c>
      <c r="B17" s="134" t="s">
        <v>1052</v>
      </c>
    </row>
    <row r="18" spans="1:2" ht="15" customHeight="1" x14ac:dyDescent="0.3">
      <c r="A18" s="133" t="s">
        <v>745</v>
      </c>
      <c r="B18" s="134" t="s">
        <v>1053</v>
      </c>
    </row>
    <row r="19" spans="1:2" ht="15" customHeight="1" x14ac:dyDescent="0.3">
      <c r="A19" s="133" t="s">
        <v>750</v>
      </c>
      <c r="B19" s="134" t="s">
        <v>1054</v>
      </c>
    </row>
    <row r="20" spans="1:2" ht="15" customHeight="1" x14ac:dyDescent="0.3">
      <c r="A20" s="133" t="s">
        <v>752</v>
      </c>
      <c r="B20" s="134" t="s">
        <v>1055</v>
      </c>
    </row>
    <row r="21" spans="1:2" ht="45.75" customHeight="1" x14ac:dyDescent="0.3">
      <c r="A21" s="133" t="s">
        <v>754</v>
      </c>
      <c r="B21" s="134" t="s">
        <v>1056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1057</v>
      </c>
    </row>
    <row r="24" spans="1:2" ht="15" customHeight="1" x14ac:dyDescent="0.3">
      <c r="A24" s="133" t="s">
        <v>765</v>
      </c>
      <c r="B24" s="134" t="s">
        <v>1058</v>
      </c>
    </row>
    <row r="25" spans="1:2" ht="15" customHeight="1" x14ac:dyDescent="0.3">
      <c r="A25" s="133" t="s">
        <v>768</v>
      </c>
      <c r="B25" s="134" t="s">
        <v>1059</v>
      </c>
    </row>
    <row r="26" spans="1:2" ht="15" customHeight="1" x14ac:dyDescent="0.3">
      <c r="A26" s="133" t="s">
        <v>772</v>
      </c>
      <c r="B26" s="134" t="s">
        <v>1060</v>
      </c>
    </row>
    <row r="27" spans="1:2" ht="15" customHeight="1" x14ac:dyDescent="0.3">
      <c r="A27" s="133" t="s">
        <v>777</v>
      </c>
      <c r="B27" s="134" t="s">
        <v>1061</v>
      </c>
    </row>
    <row r="28" spans="1:2" ht="15" customHeight="1" x14ac:dyDescent="0.3">
      <c r="A28" s="133" t="s">
        <v>783</v>
      </c>
      <c r="B28" s="134" t="s">
        <v>1062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1063</v>
      </c>
    </row>
    <row r="31" spans="1:2" ht="15" customHeight="1" x14ac:dyDescent="0.3">
      <c r="A31" s="133" t="s">
        <v>59</v>
      </c>
      <c r="B31" s="134" t="s">
        <v>1064</v>
      </c>
    </row>
    <row r="32" spans="1:2" ht="15" customHeight="1" x14ac:dyDescent="0.3">
      <c r="A32" s="133" t="s">
        <v>63</v>
      </c>
      <c r="B32" s="134" t="s">
        <v>970</v>
      </c>
    </row>
    <row r="33" spans="1:2" ht="15" customHeight="1" x14ac:dyDescent="0.3">
      <c r="A33" s="133" t="s">
        <v>796</v>
      </c>
      <c r="B33" s="134" t="s">
        <v>904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805</v>
      </c>
    </row>
    <row r="37" spans="1:2" ht="15" customHeight="1" x14ac:dyDescent="0.3">
      <c r="A37" s="133" t="s">
        <v>810</v>
      </c>
      <c r="B37" s="134" t="s">
        <v>905</v>
      </c>
    </row>
    <row r="38" spans="1:2" ht="15" customHeight="1" x14ac:dyDescent="0.3">
      <c r="A38" s="133" t="s">
        <v>816</v>
      </c>
      <c r="B38" s="134" t="s">
        <v>1065</v>
      </c>
    </row>
    <row r="39" spans="1:2" ht="15" customHeight="1" x14ac:dyDescent="0.3">
      <c r="A39" s="133" t="s">
        <v>818</v>
      </c>
      <c r="B39" s="134" t="s">
        <v>1066</v>
      </c>
    </row>
    <row r="40" spans="1:2" ht="15" customHeight="1" x14ac:dyDescent="0.3">
      <c r="A40" s="133" t="s">
        <v>820</v>
      </c>
      <c r="B40" s="134" t="s">
        <v>1067</v>
      </c>
    </row>
    <row r="41" spans="1:2" ht="15" customHeight="1" x14ac:dyDescent="0.3">
      <c r="A41" s="133" t="s">
        <v>45</v>
      </c>
      <c r="B41" s="134" t="s">
        <v>1068</v>
      </c>
    </row>
    <row r="42" spans="1:2" ht="30" customHeight="1" x14ac:dyDescent="0.3">
      <c r="A42" s="133" t="s">
        <v>829</v>
      </c>
      <c r="B42" s="134" t="s">
        <v>1069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1070</v>
      </c>
    </row>
    <row r="45" spans="1:2" ht="15" customHeight="1" x14ac:dyDescent="0.3">
      <c r="A45" s="133" t="s">
        <v>834</v>
      </c>
      <c r="B45" s="134" t="s">
        <v>1071</v>
      </c>
    </row>
    <row r="46" spans="1:2" ht="30" customHeight="1" x14ac:dyDescent="0.3">
      <c r="A46" s="133" t="s">
        <v>835</v>
      </c>
      <c r="B46" s="134" t="s">
        <v>1072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1073</v>
      </c>
    </row>
    <row r="49" spans="1:2" ht="15" customHeight="1" x14ac:dyDescent="0.3">
      <c r="A49" s="133" t="s">
        <v>840</v>
      </c>
      <c r="B49" s="134" t="s">
        <v>1074</v>
      </c>
    </row>
    <row r="50" spans="1:2" ht="15" customHeight="1" x14ac:dyDescent="0.3">
      <c r="A50" s="133" t="s">
        <v>842</v>
      </c>
      <c r="B50" s="134" t="s">
        <v>1075</v>
      </c>
    </row>
    <row r="51" spans="1:2" ht="15" customHeight="1" x14ac:dyDescent="0.3">
      <c r="A51" s="133" t="s">
        <v>879</v>
      </c>
      <c r="B51" s="134" t="s">
        <v>1076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1077</v>
      </c>
    </row>
    <row r="6" spans="1:2" ht="15" customHeight="1" x14ac:dyDescent="0.3">
      <c r="A6" s="133" t="s">
        <v>713</v>
      </c>
      <c r="B6" s="134" t="s">
        <v>1078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1079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1080</v>
      </c>
    </row>
    <row r="11" spans="1:2" ht="15" customHeight="1" x14ac:dyDescent="0.3">
      <c r="A11" s="133" t="s">
        <v>725</v>
      </c>
      <c r="B11" s="134" t="s">
        <v>1081</v>
      </c>
    </row>
    <row r="12" spans="1:2" ht="15" customHeight="1" x14ac:dyDescent="0.3">
      <c r="A12" s="133" t="s">
        <v>34</v>
      </c>
      <c r="B12" s="134" t="s">
        <v>1082</v>
      </c>
    </row>
    <row r="13" spans="1:2" ht="15" customHeight="1" x14ac:dyDescent="0.3">
      <c r="A13" s="133" t="s">
        <v>732</v>
      </c>
      <c r="B13" s="134" t="s">
        <v>733</v>
      </c>
    </row>
    <row r="14" spans="1:2" ht="15" customHeight="1" x14ac:dyDescent="0.3">
      <c r="A14" s="133" t="s">
        <v>39</v>
      </c>
      <c r="B14" s="134" t="s">
        <v>1083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1084</v>
      </c>
    </row>
    <row r="17" spans="1:2" ht="30" customHeight="1" x14ac:dyDescent="0.3">
      <c r="A17" s="133" t="s">
        <v>743</v>
      </c>
      <c r="B17" s="134" t="s">
        <v>1085</v>
      </c>
    </row>
    <row r="18" spans="1:2" ht="15" customHeight="1" x14ac:dyDescent="0.3">
      <c r="A18" s="133" t="s">
        <v>745</v>
      </c>
      <c r="B18" s="134" t="s">
        <v>1086</v>
      </c>
    </row>
    <row r="19" spans="1:2" ht="15" customHeight="1" x14ac:dyDescent="0.3">
      <c r="A19" s="133" t="s">
        <v>750</v>
      </c>
      <c r="B19" s="134" t="s">
        <v>1087</v>
      </c>
    </row>
    <row r="20" spans="1:2" ht="30" customHeight="1" x14ac:dyDescent="0.3">
      <c r="A20" s="133" t="s">
        <v>752</v>
      </c>
      <c r="B20" s="134" t="s">
        <v>1088</v>
      </c>
    </row>
    <row r="21" spans="1:2" ht="45.75" customHeight="1" x14ac:dyDescent="0.3">
      <c r="A21" s="133" t="s">
        <v>754</v>
      </c>
      <c r="B21" s="134" t="s">
        <v>1089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1090</v>
      </c>
    </row>
    <row r="24" spans="1:2" ht="15" customHeight="1" x14ac:dyDescent="0.3">
      <c r="A24" s="133" t="s">
        <v>765</v>
      </c>
      <c r="B24" s="134" t="s">
        <v>1091</v>
      </c>
    </row>
    <row r="25" spans="1:2" ht="15" customHeight="1" x14ac:dyDescent="0.3">
      <c r="A25" s="133" t="s">
        <v>768</v>
      </c>
      <c r="B25" s="134" t="s">
        <v>1092</v>
      </c>
    </row>
    <row r="26" spans="1:2" ht="15" customHeight="1" x14ac:dyDescent="0.3">
      <c r="A26" s="133" t="s">
        <v>772</v>
      </c>
      <c r="B26" s="134" t="s">
        <v>1093</v>
      </c>
    </row>
    <row r="27" spans="1:2" ht="15" customHeight="1" x14ac:dyDescent="0.3">
      <c r="A27" s="133" t="s">
        <v>777</v>
      </c>
      <c r="B27" s="134" t="s">
        <v>1094</v>
      </c>
    </row>
    <row r="28" spans="1:2" ht="15" customHeight="1" x14ac:dyDescent="0.3">
      <c r="A28" s="133" t="s">
        <v>783</v>
      </c>
      <c r="B28" s="134" t="s">
        <v>1095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1096</v>
      </c>
    </row>
    <row r="31" spans="1:2" ht="15" customHeight="1" x14ac:dyDescent="0.3">
      <c r="A31" s="133" t="s">
        <v>59</v>
      </c>
      <c r="B31" s="134" t="s">
        <v>938</v>
      </c>
    </row>
    <row r="32" spans="1:2" ht="15" customHeight="1" x14ac:dyDescent="0.3">
      <c r="A32" s="133" t="s">
        <v>63</v>
      </c>
      <c r="B32" s="134" t="s">
        <v>66</v>
      </c>
    </row>
    <row r="33" spans="1:2" ht="15" customHeight="1" x14ac:dyDescent="0.3">
      <c r="A33" s="133" t="s">
        <v>796</v>
      </c>
      <c r="B33" s="134" t="s">
        <v>939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1097</v>
      </c>
    </row>
    <row r="37" spans="1:2" ht="15" customHeight="1" x14ac:dyDescent="0.3">
      <c r="A37" s="133" t="s">
        <v>810</v>
      </c>
      <c r="B37" s="134" t="s">
        <v>179</v>
      </c>
    </row>
    <row r="38" spans="1:2" ht="15" customHeight="1" x14ac:dyDescent="0.3">
      <c r="A38" s="133" t="s">
        <v>816</v>
      </c>
      <c r="B38" s="134" t="s">
        <v>1098</v>
      </c>
    </row>
    <row r="39" spans="1:2" ht="15" customHeight="1" x14ac:dyDescent="0.3">
      <c r="A39" s="133" t="s">
        <v>818</v>
      </c>
      <c r="B39" s="134" t="s">
        <v>1099</v>
      </c>
    </row>
    <row r="40" spans="1:2" ht="30" customHeight="1" x14ac:dyDescent="0.3">
      <c r="A40" s="133" t="s">
        <v>820</v>
      </c>
      <c r="B40" s="134" t="s">
        <v>1100</v>
      </c>
    </row>
    <row r="41" spans="1:2" ht="15" customHeight="1" x14ac:dyDescent="0.3">
      <c r="A41" s="133" t="s">
        <v>45</v>
      </c>
      <c r="B41" s="134" t="s">
        <v>1101</v>
      </c>
    </row>
    <row r="42" spans="1:2" ht="15" customHeight="1" x14ac:dyDescent="0.3">
      <c r="A42" s="133" t="s">
        <v>829</v>
      </c>
      <c r="B42" s="134" t="s">
        <v>1102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1103</v>
      </c>
    </row>
    <row r="45" spans="1:2" ht="15" customHeight="1" x14ac:dyDescent="0.3">
      <c r="A45" s="133" t="s">
        <v>834</v>
      </c>
      <c r="B45" s="134" t="s">
        <v>1104</v>
      </c>
    </row>
    <row r="46" spans="1:2" ht="15" customHeight="1" x14ac:dyDescent="0.3">
      <c r="A46" s="133" t="s">
        <v>835</v>
      </c>
      <c r="B46" s="134" t="s">
        <v>1105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1106</v>
      </c>
    </row>
    <row r="49" spans="1:2" ht="15" customHeight="1" x14ac:dyDescent="0.3">
      <c r="A49" s="133" t="s">
        <v>840</v>
      </c>
      <c r="B49" s="134" t="s">
        <v>1107</v>
      </c>
    </row>
    <row r="50" spans="1:2" ht="15" customHeight="1" x14ac:dyDescent="0.3">
      <c r="A50" s="133" t="s">
        <v>842</v>
      </c>
      <c r="B50" s="134" t="s">
        <v>1108</v>
      </c>
    </row>
    <row r="51" spans="1:2" ht="15" customHeight="1" x14ac:dyDescent="0.3">
      <c r="A51" s="133" t="s">
        <v>879</v>
      </c>
      <c r="B51" s="134" t="s">
        <v>1109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1110</v>
      </c>
    </row>
    <row r="6" spans="1:2" ht="15" customHeight="1" x14ac:dyDescent="0.3">
      <c r="A6" s="133" t="s">
        <v>713</v>
      </c>
      <c r="B6" s="134" t="s">
        <v>1111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1112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1113</v>
      </c>
    </row>
    <row r="11" spans="1:2" ht="15" customHeight="1" x14ac:dyDescent="0.3">
      <c r="A11" s="133" t="s">
        <v>725</v>
      </c>
      <c r="B11" s="134" t="s">
        <v>1114</v>
      </c>
    </row>
    <row r="12" spans="1:2" ht="15" customHeight="1" x14ac:dyDescent="0.3">
      <c r="A12" s="133" t="s">
        <v>34</v>
      </c>
      <c r="B12" s="134" t="s">
        <v>957</v>
      </c>
    </row>
    <row r="13" spans="1:2" ht="15" customHeight="1" x14ac:dyDescent="0.3">
      <c r="A13" s="133" t="s">
        <v>732</v>
      </c>
      <c r="B13" s="134" t="s">
        <v>735</v>
      </c>
    </row>
    <row r="14" spans="1:2" ht="15" customHeight="1" x14ac:dyDescent="0.3">
      <c r="A14" s="133" t="s">
        <v>39</v>
      </c>
      <c r="B14" s="134" t="s">
        <v>958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1115</v>
      </c>
    </row>
    <row r="17" spans="1:2" ht="30" customHeight="1" x14ac:dyDescent="0.3">
      <c r="A17" s="133" t="s">
        <v>743</v>
      </c>
      <c r="B17" s="134" t="s">
        <v>1116</v>
      </c>
    </row>
    <row r="18" spans="1:2" ht="15" customHeight="1" x14ac:dyDescent="0.3">
      <c r="A18" s="133" t="s">
        <v>745</v>
      </c>
      <c r="B18" s="134" t="s">
        <v>1117</v>
      </c>
    </row>
    <row r="19" spans="1:2" ht="15" customHeight="1" x14ac:dyDescent="0.3">
      <c r="A19" s="133" t="s">
        <v>750</v>
      </c>
      <c r="B19" s="134" t="s">
        <v>1054</v>
      </c>
    </row>
    <row r="20" spans="1:2" ht="15" customHeight="1" x14ac:dyDescent="0.3">
      <c r="A20" s="133" t="s">
        <v>752</v>
      </c>
      <c r="B20" s="134" t="s">
        <v>1118</v>
      </c>
    </row>
    <row r="21" spans="1:2" ht="45.75" customHeight="1" x14ac:dyDescent="0.3">
      <c r="A21" s="133" t="s">
        <v>754</v>
      </c>
      <c r="B21" s="134" t="s">
        <v>1119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1120</v>
      </c>
    </row>
    <row r="24" spans="1:2" ht="15" customHeight="1" x14ac:dyDescent="0.3">
      <c r="A24" s="133" t="s">
        <v>765</v>
      </c>
      <c r="B24" s="134" t="s">
        <v>1121</v>
      </c>
    </row>
    <row r="25" spans="1:2" ht="15" customHeight="1" x14ac:dyDescent="0.3">
      <c r="A25" s="133" t="s">
        <v>768</v>
      </c>
      <c r="B25" s="134" t="s">
        <v>1122</v>
      </c>
    </row>
    <row r="26" spans="1:2" ht="15" customHeight="1" x14ac:dyDescent="0.3">
      <c r="A26" s="133" t="s">
        <v>772</v>
      </c>
      <c r="B26" s="134" t="s">
        <v>1123</v>
      </c>
    </row>
    <row r="27" spans="1:2" ht="15" customHeight="1" x14ac:dyDescent="0.3">
      <c r="A27" s="133" t="s">
        <v>777</v>
      </c>
      <c r="B27" s="134" t="s">
        <v>1124</v>
      </c>
    </row>
    <row r="28" spans="1:2" ht="30" customHeight="1" x14ac:dyDescent="0.3">
      <c r="A28" s="133" t="s">
        <v>783</v>
      </c>
      <c r="B28" s="134" t="s">
        <v>1125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1126</v>
      </c>
    </row>
    <row r="31" spans="1:2" ht="15" customHeight="1" x14ac:dyDescent="0.3">
      <c r="A31" s="133" t="s">
        <v>59</v>
      </c>
      <c r="B31" s="134" t="s">
        <v>1064</v>
      </c>
    </row>
    <row r="32" spans="1:2" ht="15" customHeight="1" x14ac:dyDescent="0.3">
      <c r="A32" s="133" t="s">
        <v>63</v>
      </c>
      <c r="B32" s="134" t="s">
        <v>970</v>
      </c>
    </row>
    <row r="33" spans="1:2" ht="15" customHeight="1" x14ac:dyDescent="0.3">
      <c r="A33" s="133" t="s">
        <v>796</v>
      </c>
      <c r="B33" s="134" t="s">
        <v>904</v>
      </c>
    </row>
    <row r="34" spans="1:2" ht="15" customHeight="1" x14ac:dyDescent="0.3">
      <c r="A34" s="133" t="s">
        <v>800</v>
      </c>
      <c r="B34" s="134" t="s">
        <v>735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1097</v>
      </c>
    </row>
    <row r="37" spans="1:2" ht="15" customHeight="1" x14ac:dyDescent="0.3">
      <c r="A37" s="133" t="s">
        <v>810</v>
      </c>
      <c r="B37" s="134" t="s">
        <v>812</v>
      </c>
    </row>
    <row r="38" spans="1:2" ht="15" customHeight="1" x14ac:dyDescent="0.3">
      <c r="A38" s="133" t="s">
        <v>816</v>
      </c>
      <c r="B38" s="134" t="s">
        <v>1127</v>
      </c>
    </row>
    <row r="39" spans="1:2" ht="15" customHeight="1" x14ac:dyDescent="0.3">
      <c r="A39" s="133" t="s">
        <v>818</v>
      </c>
      <c r="B39" s="134" t="s">
        <v>1128</v>
      </c>
    </row>
    <row r="40" spans="1:2" ht="30" customHeight="1" x14ac:dyDescent="0.3">
      <c r="A40" s="133" t="s">
        <v>820</v>
      </c>
      <c r="B40" s="134" t="s">
        <v>1129</v>
      </c>
    </row>
    <row r="41" spans="1:2" ht="15" customHeight="1" x14ac:dyDescent="0.3">
      <c r="A41" s="133" t="s">
        <v>45</v>
      </c>
      <c r="B41" s="134" t="s">
        <v>1130</v>
      </c>
    </row>
    <row r="42" spans="1:2" ht="15" customHeight="1" x14ac:dyDescent="0.3">
      <c r="A42" s="133" t="s">
        <v>829</v>
      </c>
      <c r="B42" s="134" t="s">
        <v>1131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1132</v>
      </c>
    </row>
    <row r="45" spans="1:2" ht="15" customHeight="1" x14ac:dyDescent="0.3">
      <c r="A45" s="133" t="s">
        <v>834</v>
      </c>
      <c r="B45" s="134" t="s">
        <v>1133</v>
      </c>
    </row>
    <row r="46" spans="1:2" ht="15" customHeight="1" x14ac:dyDescent="0.3">
      <c r="A46" s="133" t="s">
        <v>835</v>
      </c>
      <c r="B46" s="134" t="s">
        <v>1134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914</v>
      </c>
    </row>
    <row r="49" spans="1:2" ht="15" customHeight="1" x14ac:dyDescent="0.3">
      <c r="A49" s="133" t="s">
        <v>840</v>
      </c>
      <c r="B49" s="134" t="s">
        <v>1135</v>
      </c>
    </row>
    <row r="50" spans="1:2" ht="15" customHeight="1" x14ac:dyDescent="0.3">
      <c r="A50" s="133" t="s">
        <v>842</v>
      </c>
      <c r="B50" s="134" t="s">
        <v>1136</v>
      </c>
    </row>
    <row r="51" spans="1:2" ht="15" customHeight="1" x14ac:dyDescent="0.3">
      <c r="A51" s="133" t="s">
        <v>879</v>
      </c>
      <c r="B51" s="134" t="s">
        <v>1137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1138</v>
      </c>
    </row>
    <row r="6" spans="1:2" ht="15" customHeight="1" x14ac:dyDescent="0.3">
      <c r="A6" s="133" t="s">
        <v>713</v>
      </c>
      <c r="B6" s="134" t="s">
        <v>1139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1140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1141</v>
      </c>
    </row>
    <row r="11" spans="1:2" ht="15" customHeight="1" x14ac:dyDescent="0.3">
      <c r="A11" s="133" t="s">
        <v>725</v>
      </c>
      <c r="B11" s="134" t="s">
        <v>1142</v>
      </c>
    </row>
    <row r="12" spans="1:2" ht="15" customHeight="1" x14ac:dyDescent="0.3">
      <c r="A12" s="133" t="s">
        <v>34</v>
      </c>
      <c r="B12" s="134" t="s">
        <v>1049</v>
      </c>
    </row>
    <row r="13" spans="1:2" ht="15" customHeight="1" x14ac:dyDescent="0.3">
      <c r="A13" s="133" t="s">
        <v>732</v>
      </c>
      <c r="B13" s="134" t="s">
        <v>733</v>
      </c>
    </row>
    <row r="14" spans="1:2" ht="15" customHeight="1" x14ac:dyDescent="0.3">
      <c r="A14" s="133" t="s">
        <v>39</v>
      </c>
      <c r="B14" s="134" t="s">
        <v>1050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1143</v>
      </c>
    </row>
    <row r="17" spans="1:2" ht="30" customHeight="1" x14ac:dyDescent="0.3">
      <c r="A17" s="133" t="s">
        <v>743</v>
      </c>
      <c r="B17" s="134" t="s">
        <v>1144</v>
      </c>
    </row>
    <row r="18" spans="1:2" ht="15" customHeight="1" x14ac:dyDescent="0.3">
      <c r="A18" s="133" t="s">
        <v>745</v>
      </c>
      <c r="B18" s="134" t="s">
        <v>747</v>
      </c>
    </row>
    <row r="19" spans="1:2" ht="15" customHeight="1" x14ac:dyDescent="0.3">
      <c r="A19" s="133" t="s">
        <v>750</v>
      </c>
      <c r="B19" s="134" t="s">
        <v>1145</v>
      </c>
    </row>
    <row r="20" spans="1:2" ht="30" customHeight="1" x14ac:dyDescent="0.3">
      <c r="A20" s="133" t="s">
        <v>752</v>
      </c>
      <c r="B20" s="134" t="s">
        <v>1146</v>
      </c>
    </row>
    <row r="21" spans="1:2" ht="45.75" customHeight="1" x14ac:dyDescent="0.3">
      <c r="A21" s="133" t="s">
        <v>754</v>
      </c>
      <c r="B21" s="134" t="s">
        <v>1147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1148</v>
      </c>
    </row>
    <row r="24" spans="1:2" ht="15" customHeight="1" x14ac:dyDescent="0.3">
      <c r="A24" s="133" t="s">
        <v>765</v>
      </c>
      <c r="B24" s="134" t="s">
        <v>1149</v>
      </c>
    </row>
    <row r="25" spans="1:2" ht="15" customHeight="1" x14ac:dyDescent="0.3">
      <c r="A25" s="133" t="s">
        <v>768</v>
      </c>
      <c r="B25" s="134" t="s">
        <v>1150</v>
      </c>
    </row>
    <row r="26" spans="1:2" ht="15" customHeight="1" x14ac:dyDescent="0.3">
      <c r="A26" s="133" t="s">
        <v>772</v>
      </c>
      <c r="B26" s="134" t="s">
        <v>1151</v>
      </c>
    </row>
    <row r="27" spans="1:2" ht="15" customHeight="1" x14ac:dyDescent="0.3">
      <c r="A27" s="133" t="s">
        <v>777</v>
      </c>
      <c r="B27" s="134" t="s">
        <v>1152</v>
      </c>
    </row>
    <row r="28" spans="1:2" ht="15" customHeight="1" x14ac:dyDescent="0.3">
      <c r="A28" s="133" t="s">
        <v>783</v>
      </c>
      <c r="B28" s="134" t="s">
        <v>1153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1154</v>
      </c>
    </row>
    <row r="31" spans="1:2" ht="15" customHeight="1" x14ac:dyDescent="0.3">
      <c r="A31" s="133" t="s">
        <v>59</v>
      </c>
      <c r="B31" s="134" t="s">
        <v>938</v>
      </c>
    </row>
    <row r="32" spans="1:2" ht="15" customHeight="1" x14ac:dyDescent="0.3">
      <c r="A32" s="133" t="s">
        <v>63</v>
      </c>
      <c r="B32" s="134" t="s">
        <v>66</v>
      </c>
    </row>
    <row r="33" spans="1:2" ht="15" customHeight="1" x14ac:dyDescent="0.3">
      <c r="A33" s="133" t="s">
        <v>796</v>
      </c>
      <c r="B33" s="134" t="s">
        <v>1155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1097</v>
      </c>
    </row>
    <row r="37" spans="1:2" ht="15" customHeight="1" x14ac:dyDescent="0.3">
      <c r="A37" s="133" t="s">
        <v>810</v>
      </c>
      <c r="B37" s="134" t="s">
        <v>179</v>
      </c>
    </row>
    <row r="38" spans="1:2" ht="15" customHeight="1" x14ac:dyDescent="0.3">
      <c r="A38" s="133" t="s">
        <v>816</v>
      </c>
      <c r="B38" s="134" t="s">
        <v>1156</v>
      </c>
    </row>
    <row r="39" spans="1:2" ht="15" customHeight="1" x14ac:dyDescent="0.3">
      <c r="A39" s="133" t="s">
        <v>818</v>
      </c>
      <c r="B39" s="134" t="s">
        <v>1157</v>
      </c>
    </row>
    <row r="40" spans="1:2" ht="15" customHeight="1" x14ac:dyDescent="0.3">
      <c r="A40" s="133" t="s">
        <v>820</v>
      </c>
      <c r="B40" s="134" t="s">
        <v>1158</v>
      </c>
    </row>
    <row r="41" spans="1:2" ht="15" customHeight="1" x14ac:dyDescent="0.3">
      <c r="A41" s="133" t="s">
        <v>45</v>
      </c>
      <c r="B41" s="134" t="s">
        <v>1159</v>
      </c>
    </row>
    <row r="42" spans="1:2" ht="15" customHeight="1" x14ac:dyDescent="0.3">
      <c r="A42" s="133" t="s">
        <v>829</v>
      </c>
      <c r="B42" s="134" t="s">
        <v>1160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1161</v>
      </c>
    </row>
    <row r="45" spans="1:2" ht="15" customHeight="1" x14ac:dyDescent="0.3">
      <c r="A45" s="133" t="s">
        <v>834</v>
      </c>
      <c r="B45" s="134" t="s">
        <v>1162</v>
      </c>
    </row>
    <row r="46" spans="1:2" ht="15" customHeight="1" x14ac:dyDescent="0.3">
      <c r="A46" s="133" t="s">
        <v>835</v>
      </c>
      <c r="B46" s="134" t="s">
        <v>1163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948</v>
      </c>
    </row>
    <row r="49" spans="1:2" ht="15" customHeight="1" x14ac:dyDescent="0.3">
      <c r="A49" s="133" t="s">
        <v>840</v>
      </c>
      <c r="B49" s="134" t="s">
        <v>1164</v>
      </c>
    </row>
    <row r="50" spans="1:2" ht="15" customHeight="1" x14ac:dyDescent="0.3">
      <c r="A50" s="133" t="s">
        <v>842</v>
      </c>
      <c r="B50" s="134" t="s">
        <v>1165</v>
      </c>
    </row>
    <row r="51" spans="1:2" ht="15" customHeight="1" x14ac:dyDescent="0.3">
      <c r="A51" s="133" t="s">
        <v>879</v>
      </c>
      <c r="B51" s="134" t="s">
        <v>1166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1167</v>
      </c>
    </row>
    <row r="6" spans="1:2" ht="15" customHeight="1" x14ac:dyDescent="0.3">
      <c r="A6" s="133" t="s">
        <v>713</v>
      </c>
      <c r="B6" s="134" t="s">
        <v>1168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1169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1170</v>
      </c>
    </row>
    <row r="11" spans="1:2" ht="15" customHeight="1" x14ac:dyDescent="0.3">
      <c r="A11" s="133" t="s">
        <v>725</v>
      </c>
      <c r="B11" s="134" t="s">
        <v>1171</v>
      </c>
    </row>
    <row r="12" spans="1:2" ht="15" customHeight="1" x14ac:dyDescent="0.3">
      <c r="A12" s="133" t="s">
        <v>34</v>
      </c>
      <c r="B12" s="134" t="s">
        <v>957</v>
      </c>
    </row>
    <row r="13" spans="1:2" ht="15" customHeight="1" x14ac:dyDescent="0.3">
      <c r="A13" s="133" t="s">
        <v>732</v>
      </c>
      <c r="B13" s="134" t="s">
        <v>735</v>
      </c>
    </row>
    <row r="14" spans="1:2" ht="15" customHeight="1" x14ac:dyDescent="0.3">
      <c r="A14" s="133" t="s">
        <v>39</v>
      </c>
      <c r="B14" s="134" t="s">
        <v>958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1172</v>
      </c>
    </row>
    <row r="17" spans="1:2" ht="30" customHeight="1" x14ac:dyDescent="0.3">
      <c r="A17" s="133" t="s">
        <v>743</v>
      </c>
      <c r="B17" s="134" t="s">
        <v>1173</v>
      </c>
    </row>
    <row r="18" spans="1:2" ht="15" customHeight="1" x14ac:dyDescent="0.3">
      <c r="A18" s="133" t="s">
        <v>745</v>
      </c>
      <c r="B18" s="134" t="s">
        <v>747</v>
      </c>
    </row>
    <row r="19" spans="1:2" ht="15" customHeight="1" x14ac:dyDescent="0.3">
      <c r="A19" s="133" t="s">
        <v>750</v>
      </c>
      <c r="B19" s="134" t="s">
        <v>1054</v>
      </c>
    </row>
    <row r="20" spans="1:2" ht="30" customHeight="1" x14ac:dyDescent="0.3">
      <c r="A20" s="133" t="s">
        <v>752</v>
      </c>
      <c r="B20" s="134" t="s">
        <v>1174</v>
      </c>
    </row>
    <row r="21" spans="1:2" ht="45.75" customHeight="1" x14ac:dyDescent="0.3">
      <c r="A21" s="133" t="s">
        <v>754</v>
      </c>
      <c r="B21" s="134" t="s">
        <v>1175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1176</v>
      </c>
    </row>
    <row r="24" spans="1:2" ht="15" customHeight="1" x14ac:dyDescent="0.3">
      <c r="A24" s="133" t="s">
        <v>765</v>
      </c>
      <c r="B24" s="134" t="s">
        <v>1177</v>
      </c>
    </row>
    <row r="25" spans="1:2" ht="15" customHeight="1" x14ac:dyDescent="0.3">
      <c r="A25" s="133" t="s">
        <v>768</v>
      </c>
      <c r="B25" s="134" t="s">
        <v>1178</v>
      </c>
    </row>
    <row r="26" spans="1:2" ht="15" customHeight="1" x14ac:dyDescent="0.3">
      <c r="A26" s="133" t="s">
        <v>772</v>
      </c>
      <c r="B26" s="134" t="s">
        <v>1179</v>
      </c>
    </row>
    <row r="27" spans="1:2" ht="15" customHeight="1" x14ac:dyDescent="0.3">
      <c r="A27" s="133" t="s">
        <v>777</v>
      </c>
      <c r="B27" s="134" t="s">
        <v>1180</v>
      </c>
    </row>
    <row r="28" spans="1:2" ht="15" customHeight="1" x14ac:dyDescent="0.3">
      <c r="A28" s="133" t="s">
        <v>783</v>
      </c>
      <c r="B28" s="134" t="s">
        <v>1181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1182</v>
      </c>
    </row>
    <row r="31" spans="1:2" ht="15" customHeight="1" x14ac:dyDescent="0.3">
      <c r="A31" s="133" t="s">
        <v>59</v>
      </c>
      <c r="B31" s="134" t="s">
        <v>938</v>
      </c>
    </row>
    <row r="32" spans="1:2" ht="15" customHeight="1" x14ac:dyDescent="0.3">
      <c r="A32" s="133" t="s">
        <v>63</v>
      </c>
      <c r="B32" s="134" t="s">
        <v>1183</v>
      </c>
    </row>
    <row r="33" spans="1:2" ht="15" customHeight="1" x14ac:dyDescent="0.3">
      <c r="A33" s="133" t="s">
        <v>796</v>
      </c>
      <c r="B33" s="134" t="s">
        <v>939</v>
      </c>
    </row>
    <row r="34" spans="1:2" ht="15" customHeight="1" x14ac:dyDescent="0.3">
      <c r="A34" s="133" t="s">
        <v>800</v>
      </c>
      <c r="B34" s="134" t="s">
        <v>735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803</v>
      </c>
    </row>
    <row r="37" spans="1:2" ht="15" customHeight="1" x14ac:dyDescent="0.3">
      <c r="A37" s="133" t="s">
        <v>810</v>
      </c>
      <c r="B37" s="134" t="s">
        <v>812</v>
      </c>
    </row>
    <row r="38" spans="1:2" ht="15" customHeight="1" x14ac:dyDescent="0.3">
      <c r="A38" s="133" t="s">
        <v>816</v>
      </c>
      <c r="B38" s="134" t="s">
        <v>1184</v>
      </c>
    </row>
    <row r="39" spans="1:2" ht="15" customHeight="1" x14ac:dyDescent="0.3">
      <c r="A39" s="133" t="s">
        <v>818</v>
      </c>
      <c r="B39" s="134" t="s">
        <v>1185</v>
      </c>
    </row>
    <row r="40" spans="1:2" ht="30" customHeight="1" x14ac:dyDescent="0.3">
      <c r="A40" s="133" t="s">
        <v>820</v>
      </c>
      <c r="B40" s="134" t="s">
        <v>1186</v>
      </c>
    </row>
    <row r="41" spans="1:2" ht="15" customHeight="1" x14ac:dyDescent="0.3">
      <c r="A41" s="133" t="s">
        <v>45</v>
      </c>
      <c r="B41" s="134" t="s">
        <v>1187</v>
      </c>
    </row>
    <row r="42" spans="1:2" ht="15" customHeight="1" x14ac:dyDescent="0.3">
      <c r="A42" s="133" t="s">
        <v>829</v>
      </c>
      <c r="B42" s="134" t="s">
        <v>1188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1189</v>
      </c>
    </row>
    <row r="45" spans="1:2" ht="15" customHeight="1" x14ac:dyDescent="0.3">
      <c r="A45" s="133" t="s">
        <v>834</v>
      </c>
      <c r="B45" s="134" t="s">
        <v>1190</v>
      </c>
    </row>
    <row r="46" spans="1:2" ht="15" customHeight="1" x14ac:dyDescent="0.3">
      <c r="A46" s="133" t="s">
        <v>835</v>
      </c>
      <c r="B46" s="134" t="s">
        <v>1191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1192</v>
      </c>
    </row>
    <row r="49" spans="1:2" ht="15" customHeight="1" x14ac:dyDescent="0.3">
      <c r="A49" s="133" t="s">
        <v>840</v>
      </c>
      <c r="B49" s="134" t="s">
        <v>1193</v>
      </c>
    </row>
    <row r="50" spans="1:2" ht="15" customHeight="1" x14ac:dyDescent="0.3">
      <c r="A50" s="133" t="s">
        <v>842</v>
      </c>
      <c r="B50" s="134" t="s">
        <v>1194</v>
      </c>
    </row>
    <row r="51" spans="1:2" ht="30" customHeight="1" x14ac:dyDescent="0.3">
      <c r="A51" s="133" t="s">
        <v>879</v>
      </c>
      <c r="B51" s="134" t="s">
        <v>1195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1196</v>
      </c>
    </row>
    <row r="6" spans="1:2" ht="15" customHeight="1" x14ac:dyDescent="0.3">
      <c r="A6" s="133" t="s">
        <v>713</v>
      </c>
      <c r="B6" s="134" t="s">
        <v>1197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1198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1199</v>
      </c>
    </row>
    <row r="11" spans="1:2" ht="15" customHeight="1" x14ac:dyDescent="0.3">
      <c r="A11" s="133" t="s">
        <v>725</v>
      </c>
      <c r="B11" s="134" t="s">
        <v>726</v>
      </c>
    </row>
    <row r="12" spans="1:2" ht="15" customHeight="1" x14ac:dyDescent="0.3">
      <c r="A12" s="133" t="s">
        <v>34</v>
      </c>
      <c r="B12" s="134" t="s">
        <v>957</v>
      </c>
    </row>
    <row r="13" spans="1:2" ht="15" customHeight="1" x14ac:dyDescent="0.3">
      <c r="A13" s="133" t="s">
        <v>732</v>
      </c>
      <c r="B13" s="134" t="s">
        <v>735</v>
      </c>
    </row>
    <row r="14" spans="1:2" ht="15" customHeight="1" x14ac:dyDescent="0.3">
      <c r="A14" s="133" t="s">
        <v>39</v>
      </c>
      <c r="B14" s="134" t="s">
        <v>958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1200</v>
      </c>
    </row>
    <row r="17" spans="1:2" ht="30" customHeight="1" x14ac:dyDescent="0.3">
      <c r="A17" s="133" t="s">
        <v>743</v>
      </c>
      <c r="B17" s="134" t="s">
        <v>1201</v>
      </c>
    </row>
    <row r="18" spans="1:2" ht="15" customHeight="1" x14ac:dyDescent="0.3">
      <c r="A18" s="133" t="s">
        <v>745</v>
      </c>
      <c r="B18" s="134" t="s">
        <v>747</v>
      </c>
    </row>
    <row r="19" spans="1:2" ht="15" customHeight="1" x14ac:dyDescent="0.3">
      <c r="A19" s="133" t="s">
        <v>750</v>
      </c>
      <c r="B19" s="134" t="s">
        <v>892</v>
      </c>
    </row>
    <row r="20" spans="1:2" ht="15" customHeight="1" x14ac:dyDescent="0.3">
      <c r="A20" s="133" t="s">
        <v>752</v>
      </c>
      <c r="B20" s="134" t="s">
        <v>1202</v>
      </c>
    </row>
    <row r="21" spans="1:2" ht="45.75" customHeight="1" x14ac:dyDescent="0.3">
      <c r="A21" s="133" t="s">
        <v>754</v>
      </c>
      <c r="B21" s="134" t="s">
        <v>1203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1204</v>
      </c>
    </row>
    <row r="24" spans="1:2" ht="15" customHeight="1" x14ac:dyDescent="0.3">
      <c r="A24" s="133" t="s">
        <v>765</v>
      </c>
      <c r="B24" s="134" t="s">
        <v>1205</v>
      </c>
    </row>
    <row r="25" spans="1:2" ht="15" customHeight="1" x14ac:dyDescent="0.3">
      <c r="A25" s="133" t="s">
        <v>768</v>
      </c>
      <c r="B25" s="134" t="s">
        <v>1206</v>
      </c>
    </row>
    <row r="26" spans="1:2" ht="15" customHeight="1" x14ac:dyDescent="0.3">
      <c r="A26" s="133" t="s">
        <v>772</v>
      </c>
      <c r="B26" s="134" t="s">
        <v>1179</v>
      </c>
    </row>
    <row r="27" spans="1:2" ht="15" customHeight="1" x14ac:dyDescent="0.3">
      <c r="A27" s="133" t="s">
        <v>777</v>
      </c>
      <c r="B27" s="134" t="s">
        <v>1207</v>
      </c>
    </row>
    <row r="28" spans="1:2" ht="15" customHeight="1" x14ac:dyDescent="0.3">
      <c r="A28" s="133" t="s">
        <v>783</v>
      </c>
      <c r="B28" s="134" t="s">
        <v>1208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1209</v>
      </c>
    </row>
    <row r="31" spans="1:2" ht="15" customHeight="1" x14ac:dyDescent="0.3">
      <c r="A31" s="133" t="s">
        <v>59</v>
      </c>
      <c r="B31" s="134" t="s">
        <v>1064</v>
      </c>
    </row>
    <row r="32" spans="1:2" ht="15" customHeight="1" x14ac:dyDescent="0.3">
      <c r="A32" s="133" t="s">
        <v>63</v>
      </c>
      <c r="B32" s="134" t="s">
        <v>970</v>
      </c>
    </row>
    <row r="33" spans="1:2" ht="15" customHeight="1" x14ac:dyDescent="0.3">
      <c r="A33" s="133" t="s">
        <v>796</v>
      </c>
      <c r="B33" s="134" t="s">
        <v>1210</v>
      </c>
    </row>
    <row r="34" spans="1:2" ht="15" customHeight="1" x14ac:dyDescent="0.3">
      <c r="A34" s="133" t="s">
        <v>800</v>
      </c>
      <c r="B34" s="134" t="s">
        <v>735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1097</v>
      </c>
    </row>
    <row r="37" spans="1:2" ht="15" customHeight="1" x14ac:dyDescent="0.3">
      <c r="A37" s="133" t="s">
        <v>810</v>
      </c>
      <c r="B37" s="134" t="s">
        <v>812</v>
      </c>
    </row>
    <row r="38" spans="1:2" ht="15" customHeight="1" x14ac:dyDescent="0.3">
      <c r="A38" s="133" t="s">
        <v>816</v>
      </c>
      <c r="B38" s="134" t="s">
        <v>1211</v>
      </c>
    </row>
    <row r="39" spans="1:2" ht="15" customHeight="1" x14ac:dyDescent="0.3">
      <c r="A39" s="133" t="s">
        <v>818</v>
      </c>
      <c r="B39" s="134" t="s">
        <v>1212</v>
      </c>
    </row>
    <row r="40" spans="1:2" ht="30" customHeight="1" x14ac:dyDescent="0.3">
      <c r="A40" s="133" t="s">
        <v>820</v>
      </c>
      <c r="B40" s="134" t="s">
        <v>1213</v>
      </c>
    </row>
    <row r="41" spans="1:2" ht="15" customHeight="1" x14ac:dyDescent="0.3">
      <c r="A41" s="133" t="s">
        <v>45</v>
      </c>
      <c r="B41" s="134" t="s">
        <v>909</v>
      </c>
    </row>
    <row r="42" spans="1:2" ht="15" customHeight="1" x14ac:dyDescent="0.3">
      <c r="A42" s="133" t="s">
        <v>829</v>
      </c>
      <c r="B42" s="134" t="s">
        <v>1214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1189</v>
      </c>
    </row>
    <row r="45" spans="1:2" ht="15" customHeight="1" x14ac:dyDescent="0.3">
      <c r="A45" s="133" t="s">
        <v>834</v>
      </c>
      <c r="B45" s="134" t="s">
        <v>1215</v>
      </c>
    </row>
    <row r="46" spans="1:2" ht="15" customHeight="1" x14ac:dyDescent="0.3">
      <c r="A46" s="133" t="s">
        <v>835</v>
      </c>
      <c r="B46" s="134" t="s">
        <v>1216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914</v>
      </c>
    </row>
    <row r="49" spans="1:2" ht="15" customHeight="1" x14ac:dyDescent="0.3">
      <c r="A49" s="133" t="s">
        <v>840</v>
      </c>
      <c r="B49" s="134" t="s">
        <v>1217</v>
      </c>
    </row>
    <row r="50" spans="1:2" ht="15" customHeight="1" x14ac:dyDescent="0.3">
      <c r="A50" s="133" t="s">
        <v>842</v>
      </c>
      <c r="B50" s="134" t="s">
        <v>1218</v>
      </c>
    </row>
    <row r="51" spans="1:2" ht="30" customHeight="1" x14ac:dyDescent="0.3">
      <c r="A51" s="133" t="s">
        <v>879</v>
      </c>
      <c r="B51" s="134" t="s">
        <v>1219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1220</v>
      </c>
    </row>
    <row r="6" spans="1:2" ht="15" customHeight="1" x14ac:dyDescent="0.3">
      <c r="A6" s="133" t="s">
        <v>713</v>
      </c>
      <c r="B6" s="134" t="s">
        <v>1221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1222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1223</v>
      </c>
    </row>
    <row r="11" spans="1:2" ht="15" customHeight="1" x14ac:dyDescent="0.3">
      <c r="A11" s="133" t="s">
        <v>725</v>
      </c>
      <c r="B11" s="134" t="s">
        <v>956</v>
      </c>
    </row>
    <row r="12" spans="1:2" ht="15" customHeight="1" x14ac:dyDescent="0.3">
      <c r="A12" s="133" t="s">
        <v>34</v>
      </c>
      <c r="B12" s="134" t="s">
        <v>1224</v>
      </c>
    </row>
    <row r="13" spans="1:2" ht="15" customHeight="1" x14ac:dyDescent="0.3">
      <c r="A13" s="133" t="s">
        <v>732</v>
      </c>
      <c r="B13" s="134" t="s">
        <v>887</v>
      </c>
    </row>
    <row r="14" spans="1:2" ht="15" customHeight="1" x14ac:dyDescent="0.3">
      <c r="A14" s="133" t="s">
        <v>39</v>
      </c>
      <c r="B14" s="134" t="s">
        <v>40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1225</v>
      </c>
    </row>
    <row r="17" spans="1:2" ht="30" customHeight="1" x14ac:dyDescent="0.3">
      <c r="A17" s="133" t="s">
        <v>743</v>
      </c>
      <c r="B17" s="134" t="s">
        <v>1226</v>
      </c>
    </row>
    <row r="18" spans="1:2" ht="15" customHeight="1" x14ac:dyDescent="0.3">
      <c r="A18" s="133" t="s">
        <v>745</v>
      </c>
      <c r="B18" s="134" t="s">
        <v>1227</v>
      </c>
    </row>
    <row r="19" spans="1:2" ht="15" customHeight="1" x14ac:dyDescent="0.3">
      <c r="A19" s="133" t="s">
        <v>750</v>
      </c>
      <c r="B19" s="134" t="s">
        <v>892</v>
      </c>
    </row>
    <row r="20" spans="1:2" ht="30" customHeight="1" x14ac:dyDescent="0.3">
      <c r="A20" s="133" t="s">
        <v>752</v>
      </c>
      <c r="B20" s="134" t="s">
        <v>1228</v>
      </c>
    </row>
    <row r="21" spans="1:2" ht="30" customHeight="1" x14ac:dyDescent="0.3">
      <c r="A21" s="133" t="s">
        <v>754</v>
      </c>
      <c r="B21" s="134" t="s">
        <v>1229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1230</v>
      </c>
    </row>
    <row r="24" spans="1:2" ht="15" customHeight="1" x14ac:dyDescent="0.3">
      <c r="A24" s="133" t="s">
        <v>765</v>
      </c>
      <c r="B24" s="134" t="s">
        <v>1231</v>
      </c>
    </row>
    <row r="25" spans="1:2" ht="15" customHeight="1" x14ac:dyDescent="0.3">
      <c r="A25" s="133" t="s">
        <v>768</v>
      </c>
      <c r="B25" s="134" t="s">
        <v>1232</v>
      </c>
    </row>
    <row r="26" spans="1:2" ht="15" customHeight="1" x14ac:dyDescent="0.3">
      <c r="A26" s="133" t="s">
        <v>772</v>
      </c>
      <c r="B26" s="134" t="s">
        <v>1233</v>
      </c>
    </row>
    <row r="27" spans="1:2" ht="15" customHeight="1" x14ac:dyDescent="0.3">
      <c r="A27" s="133" t="s">
        <v>777</v>
      </c>
      <c r="B27" s="134" t="s">
        <v>1234</v>
      </c>
    </row>
    <row r="28" spans="1:2" ht="15" customHeight="1" x14ac:dyDescent="0.3">
      <c r="A28" s="133" t="s">
        <v>783</v>
      </c>
      <c r="B28" s="134" t="s">
        <v>1235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1236</v>
      </c>
    </row>
    <row r="31" spans="1:2" ht="15" customHeight="1" x14ac:dyDescent="0.3">
      <c r="A31" s="133" t="s">
        <v>59</v>
      </c>
      <c r="B31" s="134" t="s">
        <v>1064</v>
      </c>
    </row>
    <row r="32" spans="1:2" ht="15" customHeight="1" x14ac:dyDescent="0.3">
      <c r="A32" s="133" t="s">
        <v>63</v>
      </c>
      <c r="B32" s="134" t="s">
        <v>67</v>
      </c>
    </row>
    <row r="33" spans="1:2" ht="15" customHeight="1" x14ac:dyDescent="0.3">
      <c r="A33" s="133" t="s">
        <v>796</v>
      </c>
      <c r="B33" s="134" t="s">
        <v>797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805</v>
      </c>
    </row>
    <row r="37" spans="1:2" ht="15" customHeight="1" x14ac:dyDescent="0.3">
      <c r="A37" s="133" t="s">
        <v>810</v>
      </c>
      <c r="B37" s="134" t="s">
        <v>905</v>
      </c>
    </row>
    <row r="38" spans="1:2" ht="15" customHeight="1" x14ac:dyDescent="0.3">
      <c r="A38" s="133" t="s">
        <v>816</v>
      </c>
      <c r="B38" s="134" t="s">
        <v>1237</v>
      </c>
    </row>
    <row r="39" spans="1:2" ht="15" customHeight="1" x14ac:dyDescent="0.3">
      <c r="A39" s="133" t="s">
        <v>818</v>
      </c>
      <c r="B39" s="134" t="s">
        <v>1238</v>
      </c>
    </row>
    <row r="40" spans="1:2" ht="15" customHeight="1" x14ac:dyDescent="0.3">
      <c r="A40" s="133" t="s">
        <v>820</v>
      </c>
      <c r="B40" s="134" t="s">
        <v>1239</v>
      </c>
    </row>
    <row r="41" spans="1:2" ht="15" customHeight="1" x14ac:dyDescent="0.3">
      <c r="A41" s="133" t="s">
        <v>45</v>
      </c>
      <c r="B41" s="134" t="s">
        <v>909</v>
      </c>
    </row>
    <row r="42" spans="1:2" ht="15" customHeight="1" x14ac:dyDescent="0.3">
      <c r="A42" s="133" t="s">
        <v>829</v>
      </c>
      <c r="B42" s="134" t="s">
        <v>1240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975</v>
      </c>
    </row>
    <row r="45" spans="1:2" ht="15" customHeight="1" x14ac:dyDescent="0.3">
      <c r="A45" s="133" t="s">
        <v>834</v>
      </c>
      <c r="B45" s="134" t="s">
        <v>1241</v>
      </c>
    </row>
    <row r="46" spans="1:2" ht="15" customHeight="1" x14ac:dyDescent="0.3">
      <c r="A46" s="133" t="s">
        <v>835</v>
      </c>
      <c r="B46" s="134" t="s">
        <v>1242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1243</v>
      </c>
    </row>
    <row r="49" spans="1:2" ht="15" customHeight="1" x14ac:dyDescent="0.3">
      <c r="A49" s="133" t="s">
        <v>840</v>
      </c>
      <c r="B49" s="134" t="s">
        <v>1244</v>
      </c>
    </row>
    <row r="50" spans="1:2" ht="15" customHeight="1" x14ac:dyDescent="0.3">
      <c r="A50" s="133" t="s">
        <v>842</v>
      </c>
      <c r="B50" s="134" t="s">
        <v>1245</v>
      </c>
    </row>
    <row r="51" spans="1:2" ht="30" customHeight="1" x14ac:dyDescent="0.3">
      <c r="A51" s="133" t="s">
        <v>879</v>
      </c>
      <c r="B51" s="134" t="s">
        <v>1246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1247</v>
      </c>
    </row>
    <row r="6" spans="1:2" ht="15" customHeight="1" x14ac:dyDescent="0.3">
      <c r="A6" s="133" t="s">
        <v>713</v>
      </c>
      <c r="B6" s="134" t="s">
        <v>1248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1249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1250</v>
      </c>
    </row>
    <row r="11" spans="1:2" ht="15" customHeight="1" x14ac:dyDescent="0.3">
      <c r="A11" s="133" t="s">
        <v>725</v>
      </c>
      <c r="B11" s="134" t="s">
        <v>1251</v>
      </c>
    </row>
    <row r="12" spans="1:2" ht="15" customHeight="1" x14ac:dyDescent="0.3">
      <c r="A12" s="133" t="s">
        <v>34</v>
      </c>
      <c r="B12" s="134" t="s">
        <v>957</v>
      </c>
    </row>
    <row r="13" spans="1:2" ht="15" customHeight="1" x14ac:dyDescent="0.3">
      <c r="A13" s="133" t="s">
        <v>732</v>
      </c>
      <c r="B13" s="134" t="s">
        <v>887</v>
      </c>
    </row>
    <row r="14" spans="1:2" ht="15" customHeight="1" x14ac:dyDescent="0.3">
      <c r="A14" s="133" t="s">
        <v>39</v>
      </c>
      <c r="B14" s="134" t="s">
        <v>958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1252</v>
      </c>
    </row>
    <row r="17" spans="1:2" ht="30" customHeight="1" x14ac:dyDescent="0.3">
      <c r="A17" s="133" t="s">
        <v>743</v>
      </c>
      <c r="B17" s="134" t="s">
        <v>1253</v>
      </c>
    </row>
    <row r="18" spans="1:2" ht="15" customHeight="1" x14ac:dyDescent="0.3">
      <c r="A18" s="133" t="s">
        <v>745</v>
      </c>
      <c r="B18" s="134" t="s">
        <v>1254</v>
      </c>
    </row>
    <row r="19" spans="1:2" ht="15" customHeight="1" x14ac:dyDescent="0.3">
      <c r="A19" s="133" t="s">
        <v>750</v>
      </c>
      <c r="B19" s="134" t="s">
        <v>751</v>
      </c>
    </row>
    <row r="20" spans="1:2" ht="30" customHeight="1" x14ac:dyDescent="0.3">
      <c r="A20" s="133" t="s">
        <v>752</v>
      </c>
      <c r="B20" s="134" t="s">
        <v>1255</v>
      </c>
    </row>
    <row r="21" spans="1:2" ht="45.75" customHeight="1" x14ac:dyDescent="0.3">
      <c r="A21" s="133" t="s">
        <v>754</v>
      </c>
      <c r="B21" s="134" t="s">
        <v>1256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1257</v>
      </c>
    </row>
    <row r="24" spans="1:2" ht="15" customHeight="1" x14ac:dyDescent="0.3">
      <c r="A24" s="133" t="s">
        <v>765</v>
      </c>
      <c r="B24" s="134" t="s">
        <v>1258</v>
      </c>
    </row>
    <row r="25" spans="1:2" ht="15" customHeight="1" x14ac:dyDescent="0.3">
      <c r="A25" s="133" t="s">
        <v>768</v>
      </c>
      <c r="B25" s="134" t="s">
        <v>1259</v>
      </c>
    </row>
    <row r="26" spans="1:2" ht="15" customHeight="1" x14ac:dyDescent="0.3">
      <c r="A26" s="133" t="s">
        <v>772</v>
      </c>
      <c r="B26" s="134" t="s">
        <v>1260</v>
      </c>
    </row>
    <row r="27" spans="1:2" ht="30" customHeight="1" x14ac:dyDescent="0.3">
      <c r="A27" s="133" t="s">
        <v>777</v>
      </c>
      <c r="B27" s="134" t="s">
        <v>1261</v>
      </c>
    </row>
    <row r="28" spans="1:2" ht="15" customHeight="1" x14ac:dyDescent="0.3">
      <c r="A28" s="133" t="s">
        <v>783</v>
      </c>
      <c r="B28" s="134" t="s">
        <v>1262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1263</v>
      </c>
    </row>
    <row r="31" spans="1:2" ht="15" customHeight="1" x14ac:dyDescent="0.3">
      <c r="A31" s="133" t="s">
        <v>59</v>
      </c>
      <c r="B31" s="134" t="s">
        <v>938</v>
      </c>
    </row>
    <row r="32" spans="1:2" ht="15" customHeight="1" x14ac:dyDescent="0.3">
      <c r="A32" s="133" t="s">
        <v>63</v>
      </c>
      <c r="B32" s="134" t="s">
        <v>66</v>
      </c>
    </row>
    <row r="33" spans="1:2" ht="15" customHeight="1" x14ac:dyDescent="0.3">
      <c r="A33" s="133" t="s">
        <v>796</v>
      </c>
      <c r="B33" s="134" t="s">
        <v>939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1097</v>
      </c>
    </row>
    <row r="37" spans="1:2" ht="15" customHeight="1" x14ac:dyDescent="0.3">
      <c r="A37" s="133" t="s">
        <v>810</v>
      </c>
      <c r="B37" s="134" t="s">
        <v>905</v>
      </c>
    </row>
    <row r="38" spans="1:2" ht="15" customHeight="1" x14ac:dyDescent="0.3">
      <c r="A38" s="133" t="s">
        <v>816</v>
      </c>
      <c r="B38" s="134" t="s">
        <v>1264</v>
      </c>
    </row>
    <row r="39" spans="1:2" ht="15" customHeight="1" x14ac:dyDescent="0.3">
      <c r="A39" s="133" t="s">
        <v>818</v>
      </c>
      <c r="B39" s="134" t="s">
        <v>1265</v>
      </c>
    </row>
    <row r="40" spans="1:2" ht="30" customHeight="1" x14ac:dyDescent="0.3">
      <c r="A40" s="133" t="s">
        <v>820</v>
      </c>
      <c r="B40" s="134" t="s">
        <v>1266</v>
      </c>
    </row>
    <row r="41" spans="1:2" ht="15" customHeight="1" x14ac:dyDescent="0.3">
      <c r="A41" s="133" t="s">
        <v>45</v>
      </c>
      <c r="B41" s="134" t="s">
        <v>909</v>
      </c>
    </row>
    <row r="42" spans="1:2" ht="15" customHeight="1" x14ac:dyDescent="0.3">
      <c r="A42" s="133" t="s">
        <v>829</v>
      </c>
      <c r="B42" s="134" t="s">
        <v>1267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945</v>
      </c>
    </row>
    <row r="45" spans="1:2" ht="15" customHeight="1" x14ac:dyDescent="0.3">
      <c r="A45" s="133" t="s">
        <v>834</v>
      </c>
      <c r="B45" s="134" t="s">
        <v>1268</v>
      </c>
    </row>
    <row r="46" spans="1:2" ht="15" customHeight="1" x14ac:dyDescent="0.3">
      <c r="A46" s="133" t="s">
        <v>835</v>
      </c>
      <c r="B46" s="134" t="s">
        <v>1269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1270</v>
      </c>
    </row>
    <row r="49" spans="1:2" ht="15" customHeight="1" x14ac:dyDescent="0.3">
      <c r="A49" s="133" t="s">
        <v>840</v>
      </c>
      <c r="B49" s="134" t="s">
        <v>1271</v>
      </c>
    </row>
    <row r="50" spans="1:2" ht="15" customHeight="1" x14ac:dyDescent="0.3">
      <c r="A50" s="133" t="s">
        <v>842</v>
      </c>
      <c r="B50" s="134" t="s">
        <v>1136</v>
      </c>
    </row>
    <row r="51" spans="1:2" ht="15" customHeight="1" x14ac:dyDescent="0.3">
      <c r="A51" s="133" t="s">
        <v>879</v>
      </c>
      <c r="B51" s="134" t="s">
        <v>1272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1273</v>
      </c>
    </row>
    <row r="6" spans="1:2" ht="15" customHeight="1" x14ac:dyDescent="0.3">
      <c r="A6" s="133" t="s">
        <v>713</v>
      </c>
      <c r="B6" s="134" t="s">
        <v>1274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1275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1276</v>
      </c>
    </row>
    <row r="11" spans="1:2" ht="15" customHeight="1" x14ac:dyDescent="0.3">
      <c r="A11" s="133" t="s">
        <v>725</v>
      </c>
      <c r="B11" s="134" t="s">
        <v>956</v>
      </c>
    </row>
    <row r="12" spans="1:2" ht="15" customHeight="1" x14ac:dyDescent="0.3">
      <c r="A12" s="133" t="s">
        <v>34</v>
      </c>
      <c r="B12" s="134" t="s">
        <v>957</v>
      </c>
    </row>
    <row r="13" spans="1:2" ht="15" customHeight="1" x14ac:dyDescent="0.3">
      <c r="A13" s="133" t="s">
        <v>732</v>
      </c>
      <c r="B13" s="134" t="s">
        <v>887</v>
      </c>
    </row>
    <row r="14" spans="1:2" ht="15" customHeight="1" x14ac:dyDescent="0.3">
      <c r="A14" s="133" t="s">
        <v>39</v>
      </c>
      <c r="B14" s="134" t="s">
        <v>958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1277</v>
      </c>
    </row>
    <row r="17" spans="1:2" ht="15" customHeight="1" x14ac:dyDescent="0.3">
      <c r="A17" s="133" t="s">
        <v>743</v>
      </c>
      <c r="B17" s="134" t="s">
        <v>1278</v>
      </c>
    </row>
    <row r="18" spans="1:2" ht="15" customHeight="1" x14ac:dyDescent="0.3">
      <c r="A18" s="133" t="s">
        <v>745</v>
      </c>
      <c r="B18" s="134" t="s">
        <v>1279</v>
      </c>
    </row>
    <row r="19" spans="1:2" ht="15" customHeight="1" x14ac:dyDescent="0.3">
      <c r="A19" s="133" t="s">
        <v>750</v>
      </c>
      <c r="B19" s="134" t="s">
        <v>892</v>
      </c>
    </row>
    <row r="20" spans="1:2" ht="15" customHeight="1" x14ac:dyDescent="0.3">
      <c r="A20" s="133" t="s">
        <v>752</v>
      </c>
      <c r="B20" s="134" t="s">
        <v>1280</v>
      </c>
    </row>
    <row r="21" spans="1:2" ht="45.75" customHeight="1" x14ac:dyDescent="0.3">
      <c r="A21" s="133" t="s">
        <v>754</v>
      </c>
      <c r="B21" s="134" t="s">
        <v>1281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1282</v>
      </c>
    </row>
    <row r="24" spans="1:2" ht="15" customHeight="1" x14ac:dyDescent="0.3">
      <c r="A24" s="133" t="s">
        <v>765</v>
      </c>
      <c r="B24" s="134" t="s">
        <v>1283</v>
      </c>
    </row>
    <row r="25" spans="1:2" ht="15" customHeight="1" x14ac:dyDescent="0.3">
      <c r="A25" s="133" t="s">
        <v>768</v>
      </c>
      <c r="B25" s="134" t="s">
        <v>1284</v>
      </c>
    </row>
    <row r="26" spans="1:2" ht="15" customHeight="1" x14ac:dyDescent="0.3">
      <c r="A26" s="133" t="s">
        <v>772</v>
      </c>
      <c r="B26" s="134" t="s">
        <v>1285</v>
      </c>
    </row>
    <row r="27" spans="1:2" ht="15" customHeight="1" x14ac:dyDescent="0.3">
      <c r="A27" s="133" t="s">
        <v>777</v>
      </c>
      <c r="B27" s="134" t="s">
        <v>1286</v>
      </c>
    </row>
    <row r="28" spans="1:2" ht="15" customHeight="1" x14ac:dyDescent="0.3">
      <c r="A28" s="133" t="s">
        <v>783</v>
      </c>
      <c r="B28" s="134" t="s">
        <v>1287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1288</v>
      </c>
    </row>
    <row r="31" spans="1:2" ht="15" customHeight="1" x14ac:dyDescent="0.3">
      <c r="A31" s="133" t="s">
        <v>59</v>
      </c>
      <c r="B31" s="134" t="s">
        <v>1064</v>
      </c>
    </row>
    <row r="32" spans="1:2" ht="15" customHeight="1" x14ac:dyDescent="0.3">
      <c r="A32" s="133" t="s">
        <v>63</v>
      </c>
      <c r="B32" s="134" t="s">
        <v>903</v>
      </c>
    </row>
    <row r="33" spans="1:2" ht="15" customHeight="1" x14ac:dyDescent="0.3">
      <c r="A33" s="133" t="s">
        <v>796</v>
      </c>
      <c r="B33" s="134" t="s">
        <v>904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805</v>
      </c>
    </row>
    <row r="37" spans="1:2" ht="15" customHeight="1" x14ac:dyDescent="0.3">
      <c r="A37" s="133" t="s">
        <v>810</v>
      </c>
      <c r="B37" s="134" t="s">
        <v>905</v>
      </c>
    </row>
    <row r="38" spans="1:2" ht="15" customHeight="1" x14ac:dyDescent="0.3">
      <c r="A38" s="133" t="s">
        <v>816</v>
      </c>
      <c r="B38" s="134" t="s">
        <v>1289</v>
      </c>
    </row>
    <row r="39" spans="1:2" ht="15" customHeight="1" x14ac:dyDescent="0.3">
      <c r="A39" s="133" t="s">
        <v>818</v>
      </c>
      <c r="B39" s="134" t="s">
        <v>1290</v>
      </c>
    </row>
    <row r="40" spans="1:2" ht="15" customHeight="1" x14ac:dyDescent="0.3">
      <c r="A40" s="133" t="s">
        <v>820</v>
      </c>
      <c r="B40" s="134" t="s">
        <v>1291</v>
      </c>
    </row>
    <row r="41" spans="1:2" ht="15" customHeight="1" x14ac:dyDescent="0.3">
      <c r="A41" s="133" t="s">
        <v>45</v>
      </c>
      <c r="B41" s="134" t="s">
        <v>909</v>
      </c>
    </row>
    <row r="42" spans="1:2" ht="15" customHeight="1" x14ac:dyDescent="0.3">
      <c r="A42" s="133" t="s">
        <v>829</v>
      </c>
      <c r="B42" s="134" t="s">
        <v>1292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975</v>
      </c>
    </row>
    <row r="45" spans="1:2" ht="15" customHeight="1" x14ac:dyDescent="0.3">
      <c r="A45" s="133" t="s">
        <v>834</v>
      </c>
      <c r="B45" s="134" t="s">
        <v>1293</v>
      </c>
    </row>
    <row r="46" spans="1:2" ht="30" customHeight="1" x14ac:dyDescent="0.3">
      <c r="A46" s="133" t="s">
        <v>835</v>
      </c>
      <c r="B46" s="134" t="s">
        <v>1294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1295</v>
      </c>
    </row>
    <row r="49" spans="1:2" ht="15" customHeight="1" x14ac:dyDescent="0.3">
      <c r="A49" s="133" t="s">
        <v>840</v>
      </c>
      <c r="B49" s="134" t="s">
        <v>1296</v>
      </c>
    </row>
    <row r="50" spans="1:2" ht="15" customHeight="1" x14ac:dyDescent="0.3">
      <c r="A50" s="133" t="s">
        <v>842</v>
      </c>
      <c r="B50" s="134" t="s">
        <v>1136</v>
      </c>
    </row>
    <row r="51" spans="1:2" ht="15" customHeight="1" x14ac:dyDescent="0.3">
      <c r="A51" s="133" t="s">
        <v>879</v>
      </c>
      <c r="B51" s="134" t="s">
        <v>1297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1298</v>
      </c>
    </row>
    <row r="6" spans="1:2" ht="15" customHeight="1" x14ac:dyDescent="0.3">
      <c r="A6" s="133" t="s">
        <v>713</v>
      </c>
      <c r="B6" s="134" t="s">
        <v>1299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1300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1301</v>
      </c>
    </row>
    <row r="11" spans="1:2" ht="15" customHeight="1" x14ac:dyDescent="0.3">
      <c r="A11" s="133" t="s">
        <v>725</v>
      </c>
      <c r="B11" s="134" t="s">
        <v>1302</v>
      </c>
    </row>
    <row r="12" spans="1:2" ht="15" customHeight="1" x14ac:dyDescent="0.3">
      <c r="A12" s="133" t="s">
        <v>34</v>
      </c>
      <c r="B12" s="134" t="s">
        <v>1224</v>
      </c>
    </row>
    <row r="13" spans="1:2" ht="15" customHeight="1" x14ac:dyDescent="0.3">
      <c r="A13" s="133" t="s">
        <v>732</v>
      </c>
      <c r="B13" s="134" t="s">
        <v>887</v>
      </c>
    </row>
    <row r="14" spans="1:2" ht="15" customHeight="1" x14ac:dyDescent="0.3">
      <c r="A14" s="133" t="s">
        <v>39</v>
      </c>
      <c r="B14" s="134" t="s">
        <v>40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1303</v>
      </c>
    </row>
    <row r="17" spans="1:2" ht="30" customHeight="1" x14ac:dyDescent="0.3">
      <c r="A17" s="133" t="s">
        <v>743</v>
      </c>
      <c r="B17" s="134" t="s">
        <v>1304</v>
      </c>
    </row>
    <row r="18" spans="1:2" ht="15" customHeight="1" x14ac:dyDescent="0.3">
      <c r="A18" s="133" t="s">
        <v>745</v>
      </c>
      <c r="B18" s="134" t="s">
        <v>1305</v>
      </c>
    </row>
    <row r="19" spans="1:2" ht="15" customHeight="1" x14ac:dyDescent="0.3">
      <c r="A19" s="133" t="s">
        <v>750</v>
      </c>
      <c r="B19" s="134" t="s">
        <v>1306</v>
      </c>
    </row>
    <row r="20" spans="1:2" ht="30" customHeight="1" x14ac:dyDescent="0.3">
      <c r="A20" s="133" t="s">
        <v>752</v>
      </c>
      <c r="B20" s="134" t="s">
        <v>1307</v>
      </c>
    </row>
    <row r="21" spans="1:2" ht="45.75" customHeight="1" x14ac:dyDescent="0.3">
      <c r="A21" s="133" t="s">
        <v>754</v>
      </c>
      <c r="B21" s="134" t="s">
        <v>1308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1309</v>
      </c>
    </row>
    <row r="24" spans="1:2" ht="15" customHeight="1" x14ac:dyDescent="0.3">
      <c r="A24" s="133" t="s">
        <v>765</v>
      </c>
      <c r="B24" s="134" t="s">
        <v>1310</v>
      </c>
    </row>
    <row r="25" spans="1:2" ht="15" customHeight="1" x14ac:dyDescent="0.3">
      <c r="A25" s="133" t="s">
        <v>768</v>
      </c>
      <c r="B25" s="134" t="s">
        <v>1311</v>
      </c>
    </row>
    <row r="26" spans="1:2" ht="15" customHeight="1" x14ac:dyDescent="0.3">
      <c r="A26" s="133" t="s">
        <v>772</v>
      </c>
      <c r="B26" s="134" t="s">
        <v>1312</v>
      </c>
    </row>
    <row r="27" spans="1:2" ht="15" customHeight="1" x14ac:dyDescent="0.3">
      <c r="A27" s="133" t="s">
        <v>777</v>
      </c>
      <c r="B27" s="134" t="s">
        <v>1313</v>
      </c>
    </row>
    <row r="28" spans="1:2" ht="15" customHeight="1" x14ac:dyDescent="0.3">
      <c r="A28" s="133" t="s">
        <v>783</v>
      </c>
      <c r="B28" s="134" t="s">
        <v>1314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1315</v>
      </c>
    </row>
    <row r="31" spans="1:2" ht="15" customHeight="1" x14ac:dyDescent="0.3">
      <c r="A31" s="133" t="s">
        <v>59</v>
      </c>
      <c r="B31" s="134" t="s">
        <v>938</v>
      </c>
    </row>
    <row r="32" spans="1:2" ht="15" customHeight="1" x14ac:dyDescent="0.3">
      <c r="A32" s="133" t="s">
        <v>63</v>
      </c>
      <c r="B32" s="134" t="s">
        <v>1316</v>
      </c>
    </row>
    <row r="33" spans="1:2" ht="15" customHeight="1" x14ac:dyDescent="0.3">
      <c r="A33" s="133" t="s">
        <v>796</v>
      </c>
      <c r="B33" s="134" t="s">
        <v>939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1097</v>
      </c>
    </row>
    <row r="37" spans="1:2" ht="15" customHeight="1" x14ac:dyDescent="0.3">
      <c r="A37" s="133" t="s">
        <v>810</v>
      </c>
      <c r="B37" s="134" t="s">
        <v>905</v>
      </c>
    </row>
    <row r="38" spans="1:2" ht="15" customHeight="1" x14ac:dyDescent="0.3">
      <c r="A38" s="133" t="s">
        <v>816</v>
      </c>
      <c r="B38" s="134" t="s">
        <v>1211</v>
      </c>
    </row>
    <row r="39" spans="1:2" ht="15" customHeight="1" x14ac:dyDescent="0.3">
      <c r="A39" s="133" t="s">
        <v>818</v>
      </c>
      <c r="B39" s="134" t="s">
        <v>1317</v>
      </c>
    </row>
    <row r="40" spans="1:2" ht="30" customHeight="1" x14ac:dyDescent="0.3">
      <c r="A40" s="133" t="s">
        <v>820</v>
      </c>
      <c r="B40" s="134" t="s">
        <v>1318</v>
      </c>
    </row>
    <row r="41" spans="1:2" ht="15" customHeight="1" x14ac:dyDescent="0.3">
      <c r="A41" s="133" t="s">
        <v>45</v>
      </c>
      <c r="B41" s="134" t="s">
        <v>909</v>
      </c>
    </row>
    <row r="42" spans="1:2" ht="15" customHeight="1" x14ac:dyDescent="0.3">
      <c r="A42" s="133" t="s">
        <v>829</v>
      </c>
      <c r="B42" s="134" t="s">
        <v>1292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975</v>
      </c>
    </row>
    <row r="45" spans="1:2" ht="15" customHeight="1" x14ac:dyDescent="0.3">
      <c r="A45" s="133" t="s">
        <v>834</v>
      </c>
      <c r="B45" s="134" t="s">
        <v>1319</v>
      </c>
    </row>
    <row r="46" spans="1:2" ht="15" customHeight="1" x14ac:dyDescent="0.3">
      <c r="A46" s="133" t="s">
        <v>835</v>
      </c>
      <c r="B46" s="134" t="s">
        <v>1320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1321</v>
      </c>
    </row>
    <row r="49" spans="1:2" ht="15" customHeight="1" x14ac:dyDescent="0.3">
      <c r="A49" s="133" t="s">
        <v>840</v>
      </c>
      <c r="B49" s="134" t="s">
        <v>1322</v>
      </c>
    </row>
    <row r="50" spans="1:2" ht="15" customHeight="1" x14ac:dyDescent="0.3">
      <c r="A50" s="133" t="s">
        <v>842</v>
      </c>
      <c r="B50" s="134" t="s">
        <v>1323</v>
      </c>
    </row>
    <row r="51" spans="1:2" ht="15" customHeight="1" x14ac:dyDescent="0.3">
      <c r="A51" s="133" t="s">
        <v>879</v>
      </c>
      <c r="B51" s="134" t="s">
        <v>1324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1325</v>
      </c>
    </row>
    <row r="6" spans="1:2" ht="15" customHeight="1" x14ac:dyDescent="0.3">
      <c r="A6" s="133" t="s">
        <v>713</v>
      </c>
      <c r="B6" s="134" t="s">
        <v>1326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1327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1328</v>
      </c>
    </row>
    <row r="11" spans="1:2" ht="15" customHeight="1" x14ac:dyDescent="0.3">
      <c r="A11" s="133" t="s">
        <v>725</v>
      </c>
      <c r="B11" s="134" t="s">
        <v>1329</v>
      </c>
    </row>
    <row r="12" spans="1:2" ht="15" customHeight="1" x14ac:dyDescent="0.3">
      <c r="A12" s="133" t="s">
        <v>34</v>
      </c>
      <c r="B12" s="134" t="s">
        <v>1082</v>
      </c>
    </row>
    <row r="13" spans="1:2" ht="15" customHeight="1" x14ac:dyDescent="0.3">
      <c r="A13" s="133" t="s">
        <v>732</v>
      </c>
      <c r="B13" s="134" t="s">
        <v>733</v>
      </c>
    </row>
    <row r="14" spans="1:2" ht="15" customHeight="1" x14ac:dyDescent="0.3">
      <c r="A14" s="133" t="s">
        <v>39</v>
      </c>
      <c r="B14" s="134" t="s">
        <v>1330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1331</v>
      </c>
    </row>
    <row r="17" spans="1:2" ht="30" customHeight="1" x14ac:dyDescent="0.3">
      <c r="A17" s="133" t="s">
        <v>743</v>
      </c>
      <c r="B17" s="134" t="s">
        <v>1332</v>
      </c>
    </row>
    <row r="18" spans="1:2" ht="15" customHeight="1" x14ac:dyDescent="0.3">
      <c r="A18" s="133" t="s">
        <v>745</v>
      </c>
      <c r="B18" s="134" t="s">
        <v>1333</v>
      </c>
    </row>
    <row r="19" spans="1:2" ht="15" customHeight="1" x14ac:dyDescent="0.3">
      <c r="A19" s="133" t="s">
        <v>750</v>
      </c>
      <c r="B19" s="134" t="s">
        <v>1145</v>
      </c>
    </row>
    <row r="20" spans="1:2" ht="30" customHeight="1" x14ac:dyDescent="0.3">
      <c r="A20" s="133" t="s">
        <v>752</v>
      </c>
      <c r="B20" s="134" t="s">
        <v>1334</v>
      </c>
    </row>
    <row r="21" spans="1:2" ht="45.75" customHeight="1" x14ac:dyDescent="0.3">
      <c r="A21" s="133" t="s">
        <v>754</v>
      </c>
      <c r="B21" s="134" t="s">
        <v>1335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1336</v>
      </c>
    </row>
    <row r="24" spans="1:2" ht="15" customHeight="1" x14ac:dyDescent="0.3">
      <c r="A24" s="133" t="s">
        <v>765</v>
      </c>
      <c r="B24" s="134" t="s">
        <v>1337</v>
      </c>
    </row>
    <row r="25" spans="1:2" ht="15" customHeight="1" x14ac:dyDescent="0.3">
      <c r="A25" s="133" t="s">
        <v>768</v>
      </c>
      <c r="B25" s="134" t="s">
        <v>1338</v>
      </c>
    </row>
    <row r="26" spans="1:2" ht="15" customHeight="1" x14ac:dyDescent="0.3">
      <c r="A26" s="133" t="s">
        <v>772</v>
      </c>
      <c r="B26" s="134" t="s">
        <v>1339</v>
      </c>
    </row>
    <row r="27" spans="1:2" ht="15" customHeight="1" x14ac:dyDescent="0.3">
      <c r="A27" s="133" t="s">
        <v>777</v>
      </c>
      <c r="B27" s="134" t="s">
        <v>1340</v>
      </c>
    </row>
    <row r="28" spans="1:2" ht="15" customHeight="1" x14ac:dyDescent="0.3">
      <c r="A28" s="133" t="s">
        <v>783</v>
      </c>
      <c r="B28" s="134" t="s">
        <v>1341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1342</v>
      </c>
    </row>
    <row r="31" spans="1:2" ht="15" customHeight="1" x14ac:dyDescent="0.3">
      <c r="A31" s="133" t="s">
        <v>59</v>
      </c>
      <c r="B31" s="134" t="s">
        <v>938</v>
      </c>
    </row>
    <row r="32" spans="1:2" ht="15" customHeight="1" x14ac:dyDescent="0.3">
      <c r="A32" s="133" t="s">
        <v>63</v>
      </c>
      <c r="B32" s="134" t="s">
        <v>66</v>
      </c>
    </row>
    <row r="33" spans="1:2" ht="15" customHeight="1" x14ac:dyDescent="0.3">
      <c r="A33" s="133" t="s">
        <v>796</v>
      </c>
      <c r="B33" s="134" t="s">
        <v>939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1097</v>
      </c>
    </row>
    <row r="37" spans="1:2" ht="15" customHeight="1" x14ac:dyDescent="0.3">
      <c r="A37" s="133" t="s">
        <v>810</v>
      </c>
      <c r="B37" s="134" t="s">
        <v>179</v>
      </c>
    </row>
    <row r="38" spans="1:2" ht="15" customHeight="1" x14ac:dyDescent="0.3">
      <c r="A38" s="133" t="s">
        <v>816</v>
      </c>
      <c r="B38" s="134" t="s">
        <v>1343</v>
      </c>
    </row>
    <row r="39" spans="1:2" ht="30" customHeight="1" x14ac:dyDescent="0.3">
      <c r="A39" s="133" t="s">
        <v>818</v>
      </c>
      <c r="B39" s="134" t="s">
        <v>1344</v>
      </c>
    </row>
    <row r="40" spans="1:2" ht="30" customHeight="1" x14ac:dyDescent="0.3">
      <c r="A40" s="133" t="s">
        <v>820</v>
      </c>
      <c r="B40" s="134" t="s">
        <v>1345</v>
      </c>
    </row>
    <row r="41" spans="1:2" ht="15" customHeight="1" x14ac:dyDescent="0.3">
      <c r="A41" s="133" t="s">
        <v>45</v>
      </c>
      <c r="B41" s="134" t="s">
        <v>1346</v>
      </c>
    </row>
    <row r="42" spans="1:2" ht="15" customHeight="1" x14ac:dyDescent="0.3">
      <c r="A42" s="133" t="s">
        <v>829</v>
      </c>
      <c r="B42" s="134" t="s">
        <v>1347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1103</v>
      </c>
    </row>
    <row r="45" spans="1:2" ht="15" customHeight="1" x14ac:dyDescent="0.3">
      <c r="A45" s="133" t="s">
        <v>834</v>
      </c>
      <c r="B45" s="134" t="s">
        <v>1348</v>
      </c>
    </row>
    <row r="46" spans="1:2" ht="15" customHeight="1" x14ac:dyDescent="0.3">
      <c r="A46" s="133" t="s">
        <v>835</v>
      </c>
      <c r="B46" s="134" t="s">
        <v>1349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1350</v>
      </c>
    </row>
    <row r="49" spans="1:2" ht="15" customHeight="1" x14ac:dyDescent="0.3">
      <c r="A49" s="133" t="s">
        <v>840</v>
      </c>
      <c r="B49" s="134" t="s">
        <v>1351</v>
      </c>
    </row>
    <row r="50" spans="1:2" ht="15" customHeight="1" x14ac:dyDescent="0.3">
      <c r="A50" s="133" t="s">
        <v>842</v>
      </c>
      <c r="B50" s="134" t="s">
        <v>1352</v>
      </c>
    </row>
    <row r="51" spans="1:2" ht="30" customHeight="1" x14ac:dyDescent="0.3">
      <c r="A51" s="133" t="s">
        <v>879</v>
      </c>
      <c r="B51" s="134" t="s">
        <v>1353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1354</v>
      </c>
    </row>
    <row r="6" spans="1:2" ht="15" customHeight="1" x14ac:dyDescent="0.3">
      <c r="A6" s="133" t="s">
        <v>713</v>
      </c>
      <c r="B6" s="134" t="s">
        <v>1355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1356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1357</v>
      </c>
    </row>
    <row r="11" spans="1:2" ht="15" customHeight="1" x14ac:dyDescent="0.3">
      <c r="A11" s="133" t="s">
        <v>725</v>
      </c>
      <c r="B11" s="134" t="s">
        <v>1358</v>
      </c>
    </row>
    <row r="12" spans="1:2" ht="15" customHeight="1" x14ac:dyDescent="0.3">
      <c r="A12" s="133" t="s">
        <v>34</v>
      </c>
      <c r="B12" s="134" t="s">
        <v>957</v>
      </c>
    </row>
    <row r="13" spans="1:2" ht="15" customHeight="1" x14ac:dyDescent="0.3">
      <c r="A13" s="133" t="s">
        <v>732</v>
      </c>
      <c r="B13" s="134" t="s">
        <v>733</v>
      </c>
    </row>
    <row r="14" spans="1:2" ht="15" customHeight="1" x14ac:dyDescent="0.3">
      <c r="A14" s="133" t="s">
        <v>39</v>
      </c>
      <c r="B14" s="134" t="s">
        <v>958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1359</v>
      </c>
    </row>
    <row r="17" spans="1:2" ht="30" customHeight="1" x14ac:dyDescent="0.3">
      <c r="A17" s="133" t="s">
        <v>743</v>
      </c>
      <c r="B17" s="134" t="s">
        <v>1360</v>
      </c>
    </row>
    <row r="18" spans="1:2" ht="15" customHeight="1" x14ac:dyDescent="0.3">
      <c r="A18" s="133" t="s">
        <v>745</v>
      </c>
      <c r="B18" s="134" t="s">
        <v>1361</v>
      </c>
    </row>
    <row r="19" spans="1:2" ht="15" customHeight="1" x14ac:dyDescent="0.3">
      <c r="A19" s="133" t="s">
        <v>750</v>
      </c>
      <c r="B19" s="134" t="s">
        <v>1054</v>
      </c>
    </row>
    <row r="20" spans="1:2" ht="15" customHeight="1" x14ac:dyDescent="0.3">
      <c r="A20" s="133" t="s">
        <v>752</v>
      </c>
      <c r="B20" s="134" t="s">
        <v>1362</v>
      </c>
    </row>
    <row r="21" spans="1:2" ht="45.75" customHeight="1" x14ac:dyDescent="0.3">
      <c r="A21" s="133" t="s">
        <v>754</v>
      </c>
      <c r="B21" s="134" t="s">
        <v>1363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1364</v>
      </c>
    </row>
    <row r="24" spans="1:2" ht="15" customHeight="1" x14ac:dyDescent="0.3">
      <c r="A24" s="133" t="s">
        <v>765</v>
      </c>
      <c r="B24" s="134" t="s">
        <v>1365</v>
      </c>
    </row>
    <row r="25" spans="1:2" ht="15" customHeight="1" x14ac:dyDescent="0.3">
      <c r="A25" s="133" t="s">
        <v>768</v>
      </c>
      <c r="B25" s="134" t="s">
        <v>1366</v>
      </c>
    </row>
    <row r="26" spans="1:2" ht="15" customHeight="1" x14ac:dyDescent="0.3">
      <c r="A26" s="133" t="s">
        <v>772</v>
      </c>
      <c r="B26" s="134" t="s">
        <v>1367</v>
      </c>
    </row>
    <row r="27" spans="1:2" ht="15" customHeight="1" x14ac:dyDescent="0.3">
      <c r="A27" s="133" t="s">
        <v>777</v>
      </c>
      <c r="B27" s="134" t="s">
        <v>1368</v>
      </c>
    </row>
    <row r="28" spans="1:2" ht="15" customHeight="1" x14ac:dyDescent="0.3">
      <c r="A28" s="133" t="s">
        <v>783</v>
      </c>
      <c r="B28" s="134" t="s">
        <v>1369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1370</v>
      </c>
    </row>
    <row r="31" spans="1:2" ht="15" customHeight="1" x14ac:dyDescent="0.3">
      <c r="A31" s="133" t="s">
        <v>59</v>
      </c>
      <c r="B31" s="134" t="s">
        <v>938</v>
      </c>
    </row>
    <row r="32" spans="1:2" ht="15" customHeight="1" x14ac:dyDescent="0.3">
      <c r="A32" s="133" t="s">
        <v>63</v>
      </c>
      <c r="B32" s="134" t="s">
        <v>1316</v>
      </c>
    </row>
    <row r="33" spans="1:2" ht="15" customHeight="1" x14ac:dyDescent="0.3">
      <c r="A33" s="133" t="s">
        <v>796</v>
      </c>
      <c r="B33" s="134" t="s">
        <v>939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1097</v>
      </c>
    </row>
    <row r="37" spans="1:2" ht="15" customHeight="1" x14ac:dyDescent="0.3">
      <c r="A37" s="133" t="s">
        <v>810</v>
      </c>
      <c r="B37" s="134" t="s">
        <v>179</v>
      </c>
    </row>
    <row r="38" spans="1:2" ht="15" customHeight="1" x14ac:dyDescent="0.3">
      <c r="A38" s="133" t="s">
        <v>816</v>
      </c>
      <c r="B38" s="134" t="s">
        <v>1371</v>
      </c>
    </row>
    <row r="39" spans="1:2" ht="15" customHeight="1" x14ac:dyDescent="0.3">
      <c r="A39" s="133" t="s">
        <v>818</v>
      </c>
      <c r="B39" s="134" t="s">
        <v>1372</v>
      </c>
    </row>
    <row r="40" spans="1:2" ht="15" customHeight="1" x14ac:dyDescent="0.3">
      <c r="A40" s="133" t="s">
        <v>820</v>
      </c>
      <c r="B40" s="134" t="s">
        <v>1373</v>
      </c>
    </row>
    <row r="41" spans="1:2" ht="15" customHeight="1" x14ac:dyDescent="0.3">
      <c r="A41" s="133" t="s">
        <v>45</v>
      </c>
      <c r="B41" s="134" t="s">
        <v>1374</v>
      </c>
    </row>
    <row r="42" spans="1:2" ht="15" customHeight="1" x14ac:dyDescent="0.3">
      <c r="A42" s="133" t="s">
        <v>829</v>
      </c>
      <c r="B42" s="134" t="s">
        <v>1375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1103</v>
      </c>
    </row>
    <row r="45" spans="1:2" ht="15" customHeight="1" x14ac:dyDescent="0.3">
      <c r="A45" s="133" t="s">
        <v>834</v>
      </c>
      <c r="B45" s="134" t="s">
        <v>1376</v>
      </c>
    </row>
    <row r="46" spans="1:2" ht="15" customHeight="1" x14ac:dyDescent="0.3">
      <c r="A46" s="133" t="s">
        <v>835</v>
      </c>
      <c r="B46" s="134" t="s">
        <v>1377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1378</v>
      </c>
    </row>
    <row r="49" spans="1:2" ht="15" customHeight="1" x14ac:dyDescent="0.3">
      <c r="A49" s="133" t="s">
        <v>840</v>
      </c>
      <c r="B49" s="134" t="s">
        <v>1379</v>
      </c>
    </row>
    <row r="50" spans="1:2" ht="15" customHeight="1" x14ac:dyDescent="0.3">
      <c r="A50" s="133" t="s">
        <v>842</v>
      </c>
      <c r="B50" s="134" t="s">
        <v>1380</v>
      </c>
    </row>
    <row r="51" spans="1:2" ht="30" customHeight="1" x14ac:dyDescent="0.3">
      <c r="A51" s="133" t="s">
        <v>879</v>
      </c>
      <c r="B51" s="134" t="s">
        <v>1381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1382</v>
      </c>
    </row>
    <row r="6" spans="1:2" ht="15" customHeight="1" x14ac:dyDescent="0.3">
      <c r="A6" s="133" t="s">
        <v>713</v>
      </c>
      <c r="B6" s="134" t="s">
        <v>1383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1384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1141</v>
      </c>
    </row>
    <row r="11" spans="1:2" ht="15" customHeight="1" x14ac:dyDescent="0.3">
      <c r="A11" s="133" t="s">
        <v>725</v>
      </c>
      <c r="B11" s="134" t="s">
        <v>1385</v>
      </c>
    </row>
    <row r="12" spans="1:2" ht="15" customHeight="1" x14ac:dyDescent="0.3">
      <c r="A12" s="133" t="s">
        <v>34</v>
      </c>
      <c r="B12" s="134" t="s">
        <v>1049</v>
      </c>
    </row>
    <row r="13" spans="1:2" ht="15" customHeight="1" x14ac:dyDescent="0.3">
      <c r="A13" s="133" t="s">
        <v>732</v>
      </c>
      <c r="B13" s="134" t="s">
        <v>733</v>
      </c>
    </row>
    <row r="14" spans="1:2" ht="15" customHeight="1" x14ac:dyDescent="0.3">
      <c r="A14" s="133" t="s">
        <v>39</v>
      </c>
      <c r="B14" s="134" t="s">
        <v>1386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1387</v>
      </c>
    </row>
    <row r="17" spans="1:2" ht="30" customHeight="1" x14ac:dyDescent="0.3">
      <c r="A17" s="133" t="s">
        <v>743</v>
      </c>
      <c r="B17" s="134" t="s">
        <v>1388</v>
      </c>
    </row>
    <row r="18" spans="1:2" ht="15" customHeight="1" x14ac:dyDescent="0.3">
      <c r="A18" s="133" t="s">
        <v>745</v>
      </c>
      <c r="B18" s="134" t="s">
        <v>961</v>
      </c>
    </row>
    <row r="19" spans="1:2" ht="15" customHeight="1" x14ac:dyDescent="0.3">
      <c r="A19" s="133" t="s">
        <v>750</v>
      </c>
      <c r="B19" s="134" t="s">
        <v>1389</v>
      </c>
    </row>
    <row r="20" spans="1:2" ht="30" customHeight="1" x14ac:dyDescent="0.3">
      <c r="A20" s="133" t="s">
        <v>752</v>
      </c>
      <c r="B20" s="134" t="s">
        <v>1390</v>
      </c>
    </row>
    <row r="21" spans="1:2" ht="45.75" customHeight="1" x14ac:dyDescent="0.3">
      <c r="A21" s="133" t="s">
        <v>754</v>
      </c>
      <c r="B21" s="134" t="s">
        <v>1391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1392</v>
      </c>
    </row>
    <row r="24" spans="1:2" ht="15" customHeight="1" x14ac:dyDescent="0.3">
      <c r="A24" s="133" t="s">
        <v>765</v>
      </c>
      <c r="B24" s="134" t="s">
        <v>1393</v>
      </c>
    </row>
    <row r="25" spans="1:2" ht="15" customHeight="1" x14ac:dyDescent="0.3">
      <c r="A25" s="133" t="s">
        <v>768</v>
      </c>
      <c r="B25" s="134" t="s">
        <v>1394</v>
      </c>
    </row>
    <row r="26" spans="1:2" ht="15" customHeight="1" x14ac:dyDescent="0.3">
      <c r="A26" s="133" t="s">
        <v>772</v>
      </c>
      <c r="B26" s="134" t="s">
        <v>1395</v>
      </c>
    </row>
    <row r="27" spans="1:2" ht="30" customHeight="1" x14ac:dyDescent="0.3">
      <c r="A27" s="133" t="s">
        <v>777</v>
      </c>
      <c r="B27" s="134" t="s">
        <v>1396</v>
      </c>
    </row>
    <row r="28" spans="1:2" ht="15" customHeight="1" x14ac:dyDescent="0.3">
      <c r="A28" s="133" t="s">
        <v>783</v>
      </c>
      <c r="B28" s="134" t="s">
        <v>1397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1288</v>
      </c>
    </row>
    <row r="31" spans="1:2" ht="15" customHeight="1" x14ac:dyDescent="0.3">
      <c r="A31" s="133" t="s">
        <v>59</v>
      </c>
      <c r="B31" s="134" t="s">
        <v>1064</v>
      </c>
    </row>
    <row r="32" spans="1:2" ht="15" customHeight="1" x14ac:dyDescent="0.3">
      <c r="A32" s="133" t="s">
        <v>63</v>
      </c>
      <c r="B32" s="134" t="s">
        <v>970</v>
      </c>
    </row>
    <row r="33" spans="1:2" ht="15" customHeight="1" x14ac:dyDescent="0.3">
      <c r="A33" s="133" t="s">
        <v>796</v>
      </c>
      <c r="B33" s="134" t="s">
        <v>904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805</v>
      </c>
    </row>
    <row r="37" spans="1:2" ht="15" customHeight="1" x14ac:dyDescent="0.3">
      <c r="A37" s="133" t="s">
        <v>810</v>
      </c>
      <c r="B37" s="134" t="s">
        <v>179</v>
      </c>
    </row>
    <row r="38" spans="1:2" ht="15" customHeight="1" x14ac:dyDescent="0.3">
      <c r="A38" s="133" t="s">
        <v>816</v>
      </c>
      <c r="B38" s="134" t="s">
        <v>1398</v>
      </c>
    </row>
    <row r="39" spans="1:2" ht="30" customHeight="1" x14ac:dyDescent="0.3">
      <c r="A39" s="133" t="s">
        <v>818</v>
      </c>
      <c r="B39" s="134" t="s">
        <v>1399</v>
      </c>
    </row>
    <row r="40" spans="1:2" ht="15" customHeight="1" x14ac:dyDescent="0.3">
      <c r="A40" s="133" t="s">
        <v>820</v>
      </c>
      <c r="B40" s="134" t="s">
        <v>1400</v>
      </c>
    </row>
    <row r="41" spans="1:2" ht="15" customHeight="1" x14ac:dyDescent="0.3">
      <c r="A41" s="133" t="s">
        <v>45</v>
      </c>
      <c r="B41" s="134" t="s">
        <v>1401</v>
      </c>
    </row>
    <row r="42" spans="1:2" ht="15" customHeight="1" x14ac:dyDescent="0.3">
      <c r="A42" s="133" t="s">
        <v>829</v>
      </c>
      <c r="B42" s="134" t="s">
        <v>1402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1403</v>
      </c>
    </row>
    <row r="45" spans="1:2" ht="15" customHeight="1" x14ac:dyDescent="0.3">
      <c r="A45" s="133" t="s">
        <v>834</v>
      </c>
      <c r="B45" s="134" t="s">
        <v>1404</v>
      </c>
    </row>
    <row r="46" spans="1:2" ht="30" customHeight="1" x14ac:dyDescent="0.3">
      <c r="A46" s="133" t="s">
        <v>835</v>
      </c>
      <c r="B46" s="134" t="s">
        <v>1405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1406</v>
      </c>
    </row>
    <row r="49" spans="1:2" ht="15" customHeight="1" x14ac:dyDescent="0.3">
      <c r="A49" s="133" t="s">
        <v>840</v>
      </c>
      <c r="B49" s="134" t="s">
        <v>1407</v>
      </c>
    </row>
    <row r="50" spans="1:2" ht="15" customHeight="1" x14ac:dyDescent="0.3">
      <c r="A50" s="133" t="s">
        <v>842</v>
      </c>
      <c r="B50" s="134" t="s">
        <v>1408</v>
      </c>
    </row>
    <row r="51" spans="1:2" ht="15" customHeight="1" x14ac:dyDescent="0.3">
      <c r="A51" s="133" t="s">
        <v>879</v>
      </c>
      <c r="B51" s="134" t="s">
        <v>1409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1410</v>
      </c>
    </row>
    <row r="6" spans="1:2" ht="15" customHeight="1" x14ac:dyDescent="0.3">
      <c r="A6" s="133" t="s">
        <v>713</v>
      </c>
      <c r="B6" s="134" t="s">
        <v>1411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1412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1357</v>
      </c>
    </row>
    <row r="11" spans="1:2" ht="15" customHeight="1" x14ac:dyDescent="0.3">
      <c r="A11" s="133" t="s">
        <v>725</v>
      </c>
      <c r="B11" s="134" t="s">
        <v>1413</v>
      </c>
    </row>
    <row r="12" spans="1:2" ht="15" customHeight="1" x14ac:dyDescent="0.3">
      <c r="A12" s="133" t="s">
        <v>34</v>
      </c>
      <c r="B12" s="134" t="s">
        <v>957</v>
      </c>
    </row>
    <row r="13" spans="1:2" ht="15" customHeight="1" x14ac:dyDescent="0.3">
      <c r="A13" s="133" t="s">
        <v>732</v>
      </c>
      <c r="B13" s="134" t="s">
        <v>887</v>
      </c>
    </row>
    <row r="14" spans="1:2" ht="15" customHeight="1" x14ac:dyDescent="0.3">
      <c r="A14" s="133" t="s">
        <v>39</v>
      </c>
      <c r="B14" s="134" t="s">
        <v>958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1414</v>
      </c>
    </row>
    <row r="17" spans="1:2" ht="30" customHeight="1" x14ac:dyDescent="0.3">
      <c r="A17" s="133" t="s">
        <v>743</v>
      </c>
      <c r="B17" s="134" t="s">
        <v>1415</v>
      </c>
    </row>
    <row r="18" spans="1:2" ht="15" customHeight="1" x14ac:dyDescent="0.3">
      <c r="A18" s="133" t="s">
        <v>745</v>
      </c>
      <c r="B18" s="134" t="s">
        <v>747</v>
      </c>
    </row>
    <row r="19" spans="1:2" ht="15" customHeight="1" x14ac:dyDescent="0.3">
      <c r="A19" s="133" t="s">
        <v>750</v>
      </c>
      <c r="B19" s="134" t="s">
        <v>1145</v>
      </c>
    </row>
    <row r="20" spans="1:2" ht="30" customHeight="1" x14ac:dyDescent="0.3">
      <c r="A20" s="133" t="s">
        <v>752</v>
      </c>
      <c r="B20" s="134" t="s">
        <v>1416</v>
      </c>
    </row>
    <row r="21" spans="1:2" ht="45.75" customHeight="1" x14ac:dyDescent="0.3">
      <c r="A21" s="133" t="s">
        <v>754</v>
      </c>
      <c r="B21" s="134" t="s">
        <v>1417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1418</v>
      </c>
    </row>
    <row r="24" spans="1:2" ht="15" customHeight="1" x14ac:dyDescent="0.3">
      <c r="A24" s="133" t="s">
        <v>765</v>
      </c>
      <c r="B24" s="134" t="s">
        <v>1419</v>
      </c>
    </row>
    <row r="25" spans="1:2" ht="15" customHeight="1" x14ac:dyDescent="0.3">
      <c r="A25" s="133" t="s">
        <v>768</v>
      </c>
      <c r="B25" s="134" t="s">
        <v>1420</v>
      </c>
    </row>
    <row r="26" spans="1:2" ht="15" customHeight="1" x14ac:dyDescent="0.3">
      <c r="A26" s="133" t="s">
        <v>772</v>
      </c>
      <c r="B26" s="134" t="s">
        <v>1421</v>
      </c>
    </row>
    <row r="27" spans="1:2" ht="15" customHeight="1" x14ac:dyDescent="0.3">
      <c r="A27" s="133" t="s">
        <v>777</v>
      </c>
      <c r="B27" s="134" t="s">
        <v>1422</v>
      </c>
    </row>
    <row r="28" spans="1:2" ht="15" customHeight="1" x14ac:dyDescent="0.3">
      <c r="A28" s="133" t="s">
        <v>783</v>
      </c>
      <c r="B28" s="134" t="s">
        <v>1314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1423</v>
      </c>
    </row>
    <row r="31" spans="1:2" ht="15" customHeight="1" x14ac:dyDescent="0.3">
      <c r="A31" s="133" t="s">
        <v>59</v>
      </c>
      <c r="B31" s="134" t="s">
        <v>1424</v>
      </c>
    </row>
    <row r="32" spans="1:2" ht="15" customHeight="1" x14ac:dyDescent="0.3">
      <c r="A32" s="133" t="s">
        <v>63</v>
      </c>
      <c r="B32" s="134" t="s">
        <v>1183</v>
      </c>
    </row>
    <row r="33" spans="1:2" ht="15" customHeight="1" x14ac:dyDescent="0.3">
      <c r="A33" s="133" t="s">
        <v>796</v>
      </c>
      <c r="B33" s="134" t="s">
        <v>1425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803</v>
      </c>
    </row>
    <row r="37" spans="1:2" ht="15" customHeight="1" x14ac:dyDescent="0.3">
      <c r="A37" s="133" t="s">
        <v>810</v>
      </c>
      <c r="B37" s="134" t="s">
        <v>905</v>
      </c>
    </row>
    <row r="38" spans="1:2" ht="15" customHeight="1" x14ac:dyDescent="0.3">
      <c r="A38" s="133" t="s">
        <v>816</v>
      </c>
      <c r="B38" s="134" t="s">
        <v>1426</v>
      </c>
    </row>
    <row r="39" spans="1:2" ht="15" customHeight="1" x14ac:dyDescent="0.3">
      <c r="A39" s="133" t="s">
        <v>818</v>
      </c>
      <c r="B39" s="134" t="s">
        <v>1427</v>
      </c>
    </row>
    <row r="40" spans="1:2" ht="30" customHeight="1" x14ac:dyDescent="0.3">
      <c r="A40" s="133" t="s">
        <v>820</v>
      </c>
      <c r="B40" s="134" t="s">
        <v>1428</v>
      </c>
    </row>
    <row r="41" spans="1:2" ht="15" customHeight="1" x14ac:dyDescent="0.3">
      <c r="A41" s="133" t="s">
        <v>45</v>
      </c>
      <c r="B41" s="134" t="s">
        <v>909</v>
      </c>
    </row>
    <row r="42" spans="1:2" ht="15" customHeight="1" x14ac:dyDescent="0.3">
      <c r="A42" s="133" t="s">
        <v>829</v>
      </c>
      <c r="B42" s="134" t="s">
        <v>1429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1189</v>
      </c>
    </row>
    <row r="45" spans="1:2" ht="15" customHeight="1" x14ac:dyDescent="0.3">
      <c r="A45" s="133" t="s">
        <v>834</v>
      </c>
      <c r="B45" s="134" t="s">
        <v>1430</v>
      </c>
    </row>
    <row r="46" spans="1:2" ht="15" customHeight="1" x14ac:dyDescent="0.3">
      <c r="A46" s="133" t="s">
        <v>835</v>
      </c>
      <c r="B46" s="134" t="s">
        <v>1431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914</v>
      </c>
    </row>
    <row r="49" spans="1:2" ht="15" customHeight="1" x14ac:dyDescent="0.3">
      <c r="A49" s="133" t="s">
        <v>840</v>
      </c>
      <c r="B49" s="134" t="s">
        <v>1432</v>
      </c>
    </row>
    <row r="50" spans="1:2" ht="15" customHeight="1" x14ac:dyDescent="0.3">
      <c r="A50" s="133" t="s">
        <v>842</v>
      </c>
      <c r="B50" s="134" t="s">
        <v>1433</v>
      </c>
    </row>
    <row r="51" spans="1:2" ht="15" customHeight="1" x14ac:dyDescent="0.3">
      <c r="A51" s="133" t="s">
        <v>879</v>
      </c>
      <c r="B51" s="134" t="s">
        <v>1434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1435</v>
      </c>
    </row>
    <row r="6" spans="1:2" ht="15" customHeight="1" x14ac:dyDescent="0.3">
      <c r="A6" s="133" t="s">
        <v>713</v>
      </c>
      <c r="B6" s="134" t="s">
        <v>1436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1437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1438</v>
      </c>
    </row>
    <row r="11" spans="1:2" ht="15" customHeight="1" x14ac:dyDescent="0.3">
      <c r="A11" s="133" t="s">
        <v>725</v>
      </c>
      <c r="B11" s="134" t="s">
        <v>1439</v>
      </c>
    </row>
    <row r="12" spans="1:2" ht="15" customHeight="1" x14ac:dyDescent="0.3">
      <c r="A12" s="133" t="s">
        <v>34</v>
      </c>
      <c r="B12" s="134" t="s">
        <v>957</v>
      </c>
    </row>
    <row r="13" spans="1:2" ht="15" customHeight="1" x14ac:dyDescent="0.3">
      <c r="A13" s="133" t="s">
        <v>732</v>
      </c>
      <c r="B13" s="134" t="s">
        <v>887</v>
      </c>
    </row>
    <row r="14" spans="1:2" ht="15" customHeight="1" x14ac:dyDescent="0.3">
      <c r="A14" s="133" t="s">
        <v>39</v>
      </c>
      <c r="B14" s="134" t="s">
        <v>853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1440</v>
      </c>
    </row>
    <row r="17" spans="1:2" ht="30" customHeight="1" x14ac:dyDescent="0.3">
      <c r="A17" s="133" t="s">
        <v>743</v>
      </c>
      <c r="B17" s="134" t="s">
        <v>1441</v>
      </c>
    </row>
    <row r="18" spans="1:2" ht="15" customHeight="1" x14ac:dyDescent="0.3">
      <c r="A18" s="133" t="s">
        <v>745</v>
      </c>
      <c r="B18" s="134" t="s">
        <v>747</v>
      </c>
    </row>
    <row r="19" spans="1:2" ht="15" customHeight="1" x14ac:dyDescent="0.3">
      <c r="A19" s="133" t="s">
        <v>750</v>
      </c>
      <c r="B19" s="134" t="s">
        <v>1442</v>
      </c>
    </row>
    <row r="20" spans="1:2" ht="30" customHeight="1" x14ac:dyDescent="0.3">
      <c r="A20" s="133" t="s">
        <v>752</v>
      </c>
      <c r="B20" s="134" t="s">
        <v>1443</v>
      </c>
    </row>
    <row r="21" spans="1:2" ht="45.75" customHeight="1" x14ac:dyDescent="0.3">
      <c r="A21" s="133" t="s">
        <v>754</v>
      </c>
      <c r="B21" s="134" t="s">
        <v>1444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1445</v>
      </c>
    </row>
    <row r="24" spans="1:2" ht="15" customHeight="1" x14ac:dyDescent="0.3">
      <c r="A24" s="133" t="s">
        <v>765</v>
      </c>
      <c r="B24" s="134" t="s">
        <v>1446</v>
      </c>
    </row>
    <row r="25" spans="1:2" ht="15" customHeight="1" x14ac:dyDescent="0.3">
      <c r="A25" s="133" t="s">
        <v>768</v>
      </c>
      <c r="B25" s="134" t="s">
        <v>1447</v>
      </c>
    </row>
    <row r="26" spans="1:2" ht="15" customHeight="1" x14ac:dyDescent="0.3">
      <c r="A26" s="133" t="s">
        <v>772</v>
      </c>
      <c r="B26" s="134" t="s">
        <v>1448</v>
      </c>
    </row>
    <row r="27" spans="1:2" ht="30" customHeight="1" x14ac:dyDescent="0.3">
      <c r="A27" s="133" t="s">
        <v>777</v>
      </c>
      <c r="B27" s="134" t="s">
        <v>1449</v>
      </c>
    </row>
    <row r="28" spans="1:2" ht="30" customHeight="1" x14ac:dyDescent="0.3">
      <c r="A28" s="133" t="s">
        <v>783</v>
      </c>
      <c r="B28" s="134" t="s">
        <v>1450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1451</v>
      </c>
    </row>
    <row r="31" spans="1:2" ht="15" customHeight="1" x14ac:dyDescent="0.3">
      <c r="A31" s="133" t="s">
        <v>59</v>
      </c>
      <c r="B31" s="134" t="s">
        <v>938</v>
      </c>
    </row>
    <row r="32" spans="1:2" ht="15" customHeight="1" x14ac:dyDescent="0.3">
      <c r="A32" s="133" t="s">
        <v>63</v>
      </c>
      <c r="B32" s="134" t="s">
        <v>1452</v>
      </c>
    </row>
    <row r="33" spans="1:2" ht="15" customHeight="1" x14ac:dyDescent="0.3">
      <c r="A33" s="133" t="s">
        <v>796</v>
      </c>
      <c r="B33" s="134" t="s">
        <v>1155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805</v>
      </c>
    </row>
    <row r="37" spans="1:2" ht="15" customHeight="1" x14ac:dyDescent="0.3">
      <c r="A37" s="133" t="s">
        <v>810</v>
      </c>
      <c r="B37" s="134" t="s">
        <v>905</v>
      </c>
    </row>
    <row r="38" spans="1:2" ht="15" customHeight="1" x14ac:dyDescent="0.3">
      <c r="A38" s="133" t="s">
        <v>816</v>
      </c>
      <c r="B38" s="134" t="s">
        <v>1453</v>
      </c>
    </row>
    <row r="39" spans="1:2" ht="15" customHeight="1" x14ac:dyDescent="0.3">
      <c r="A39" s="133" t="s">
        <v>818</v>
      </c>
      <c r="B39" s="134" t="s">
        <v>1454</v>
      </c>
    </row>
    <row r="40" spans="1:2" ht="30" customHeight="1" x14ac:dyDescent="0.3">
      <c r="A40" s="133" t="s">
        <v>820</v>
      </c>
      <c r="B40" s="134" t="s">
        <v>1455</v>
      </c>
    </row>
    <row r="41" spans="1:2" ht="15" customHeight="1" x14ac:dyDescent="0.3">
      <c r="A41" s="133" t="s">
        <v>45</v>
      </c>
      <c r="B41" s="134" t="s">
        <v>1456</v>
      </c>
    </row>
    <row r="42" spans="1:2" ht="15" customHeight="1" x14ac:dyDescent="0.3">
      <c r="A42" s="133" t="s">
        <v>829</v>
      </c>
      <c r="B42" s="134" t="s">
        <v>1429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1070</v>
      </c>
    </row>
    <row r="45" spans="1:2" ht="15" customHeight="1" x14ac:dyDescent="0.3">
      <c r="A45" s="133" t="s">
        <v>834</v>
      </c>
      <c r="B45" s="134" t="s">
        <v>1457</v>
      </c>
    </row>
    <row r="46" spans="1:2" ht="15" customHeight="1" x14ac:dyDescent="0.3">
      <c r="A46" s="133" t="s">
        <v>835</v>
      </c>
      <c r="B46" s="134" t="s">
        <v>1458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914</v>
      </c>
    </row>
    <row r="49" spans="1:2" ht="15" customHeight="1" x14ac:dyDescent="0.3">
      <c r="A49" s="133" t="s">
        <v>840</v>
      </c>
      <c r="B49" s="134" t="s">
        <v>1459</v>
      </c>
    </row>
    <row r="50" spans="1:2" ht="15" customHeight="1" x14ac:dyDescent="0.3">
      <c r="A50" s="133" t="s">
        <v>842</v>
      </c>
      <c r="B50" s="134" t="s">
        <v>1460</v>
      </c>
    </row>
    <row r="51" spans="1:2" ht="15" customHeight="1" x14ac:dyDescent="0.3">
      <c r="A51" s="133" t="s">
        <v>879</v>
      </c>
      <c r="B51" s="134" t="s">
        <v>1461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1462</v>
      </c>
    </row>
    <row r="6" spans="1:2" ht="15" customHeight="1" x14ac:dyDescent="0.3">
      <c r="A6" s="133" t="s">
        <v>713</v>
      </c>
      <c r="B6" s="134" t="s">
        <v>1463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1464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1141</v>
      </c>
    </row>
    <row r="11" spans="1:2" ht="15" customHeight="1" x14ac:dyDescent="0.3">
      <c r="A11" s="133" t="s">
        <v>725</v>
      </c>
      <c r="B11" s="134" t="s">
        <v>1465</v>
      </c>
    </row>
    <row r="12" spans="1:2" ht="15" customHeight="1" x14ac:dyDescent="0.3">
      <c r="A12" s="133" t="s">
        <v>34</v>
      </c>
      <c r="B12" s="134" t="s">
        <v>1049</v>
      </c>
    </row>
    <row r="13" spans="1:2" ht="15" customHeight="1" x14ac:dyDescent="0.3">
      <c r="A13" s="133" t="s">
        <v>732</v>
      </c>
      <c r="B13" s="134" t="s">
        <v>733</v>
      </c>
    </row>
    <row r="14" spans="1:2" ht="15" customHeight="1" x14ac:dyDescent="0.3">
      <c r="A14" s="133" t="s">
        <v>39</v>
      </c>
      <c r="B14" s="134" t="s">
        <v>1466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1467</v>
      </c>
    </row>
    <row r="17" spans="1:2" ht="30" customHeight="1" x14ac:dyDescent="0.3">
      <c r="A17" s="133" t="s">
        <v>743</v>
      </c>
      <c r="B17" s="134" t="s">
        <v>1468</v>
      </c>
    </row>
    <row r="18" spans="1:2" ht="15" customHeight="1" x14ac:dyDescent="0.3">
      <c r="A18" s="133" t="s">
        <v>745</v>
      </c>
      <c r="B18" s="134" t="s">
        <v>747</v>
      </c>
    </row>
    <row r="19" spans="1:2" ht="15" customHeight="1" x14ac:dyDescent="0.3">
      <c r="A19" s="133" t="s">
        <v>750</v>
      </c>
      <c r="B19" s="134" t="s">
        <v>1469</v>
      </c>
    </row>
    <row r="20" spans="1:2" ht="30" customHeight="1" x14ac:dyDescent="0.3">
      <c r="A20" s="133" t="s">
        <v>752</v>
      </c>
      <c r="B20" s="134" t="s">
        <v>1470</v>
      </c>
    </row>
    <row r="21" spans="1:2" ht="30" customHeight="1" x14ac:dyDescent="0.3">
      <c r="A21" s="133" t="s">
        <v>754</v>
      </c>
      <c r="B21" s="134" t="s">
        <v>1471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1472</v>
      </c>
    </row>
    <row r="24" spans="1:2" ht="15" customHeight="1" x14ac:dyDescent="0.3">
      <c r="A24" s="133" t="s">
        <v>765</v>
      </c>
      <c r="B24" s="134" t="s">
        <v>1473</v>
      </c>
    </row>
    <row r="25" spans="1:2" ht="15" customHeight="1" x14ac:dyDescent="0.3">
      <c r="A25" s="133" t="s">
        <v>768</v>
      </c>
      <c r="B25" s="134" t="s">
        <v>1474</v>
      </c>
    </row>
    <row r="26" spans="1:2" ht="15" customHeight="1" x14ac:dyDescent="0.3">
      <c r="A26" s="133" t="s">
        <v>772</v>
      </c>
      <c r="B26" s="134" t="s">
        <v>1475</v>
      </c>
    </row>
    <row r="27" spans="1:2" ht="30" customHeight="1" x14ac:dyDescent="0.3">
      <c r="A27" s="133" t="s">
        <v>777</v>
      </c>
      <c r="B27" s="134" t="s">
        <v>1476</v>
      </c>
    </row>
    <row r="28" spans="1:2" ht="30" customHeight="1" x14ac:dyDescent="0.3">
      <c r="A28" s="133" t="s">
        <v>783</v>
      </c>
      <c r="B28" s="134" t="s">
        <v>1477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1478</v>
      </c>
    </row>
    <row r="31" spans="1:2" ht="15" customHeight="1" x14ac:dyDescent="0.3">
      <c r="A31" s="133" t="s">
        <v>59</v>
      </c>
      <c r="B31" s="134" t="s">
        <v>938</v>
      </c>
    </row>
    <row r="32" spans="1:2" ht="15" customHeight="1" x14ac:dyDescent="0.3">
      <c r="A32" s="133" t="s">
        <v>63</v>
      </c>
      <c r="B32" s="134" t="s">
        <v>66</v>
      </c>
    </row>
    <row r="33" spans="1:2" ht="15" customHeight="1" x14ac:dyDescent="0.3">
      <c r="A33" s="133" t="s">
        <v>796</v>
      </c>
      <c r="B33" s="134" t="s">
        <v>1155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1097</v>
      </c>
    </row>
    <row r="37" spans="1:2" ht="15" customHeight="1" x14ac:dyDescent="0.3">
      <c r="A37" s="133" t="s">
        <v>810</v>
      </c>
      <c r="B37" s="134" t="s">
        <v>179</v>
      </c>
    </row>
    <row r="38" spans="1:2" ht="15" customHeight="1" x14ac:dyDescent="0.3">
      <c r="A38" s="133" t="s">
        <v>816</v>
      </c>
      <c r="B38" s="134" t="s">
        <v>1479</v>
      </c>
    </row>
    <row r="39" spans="1:2" ht="15" customHeight="1" x14ac:dyDescent="0.3">
      <c r="A39" s="133" t="s">
        <v>818</v>
      </c>
      <c r="B39" s="134" t="s">
        <v>1480</v>
      </c>
    </row>
    <row r="40" spans="1:2" ht="30" customHeight="1" x14ac:dyDescent="0.3">
      <c r="A40" s="133" t="s">
        <v>820</v>
      </c>
      <c r="B40" s="134" t="s">
        <v>1481</v>
      </c>
    </row>
    <row r="41" spans="1:2" ht="15" customHeight="1" x14ac:dyDescent="0.3">
      <c r="A41" s="133" t="s">
        <v>45</v>
      </c>
      <c r="B41" s="134" t="s">
        <v>1482</v>
      </c>
    </row>
    <row r="42" spans="1:2" ht="15" customHeight="1" x14ac:dyDescent="0.3">
      <c r="A42" s="133" t="s">
        <v>829</v>
      </c>
      <c r="B42" s="134" t="s">
        <v>1483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1161</v>
      </c>
    </row>
    <row r="45" spans="1:2" ht="15" customHeight="1" x14ac:dyDescent="0.3">
      <c r="A45" s="133" t="s">
        <v>834</v>
      </c>
      <c r="B45" s="134" t="s">
        <v>1484</v>
      </c>
    </row>
    <row r="46" spans="1:2" ht="30" customHeight="1" x14ac:dyDescent="0.3">
      <c r="A46" s="133" t="s">
        <v>835</v>
      </c>
      <c r="B46" s="134" t="s">
        <v>1485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1486</v>
      </c>
    </row>
    <row r="49" spans="1:2" ht="15" customHeight="1" x14ac:dyDescent="0.3">
      <c r="A49" s="133" t="s">
        <v>840</v>
      </c>
      <c r="B49" s="134" t="s">
        <v>1487</v>
      </c>
    </row>
    <row r="50" spans="1:2" ht="15" customHeight="1" x14ac:dyDescent="0.3">
      <c r="A50" s="133" t="s">
        <v>842</v>
      </c>
      <c r="B50" s="134" t="s">
        <v>1488</v>
      </c>
    </row>
    <row r="51" spans="1:2" ht="30" customHeight="1" x14ac:dyDescent="0.3">
      <c r="A51" s="133" t="s">
        <v>879</v>
      </c>
      <c r="B51" s="134" t="s">
        <v>1489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1490</v>
      </c>
    </row>
    <row r="6" spans="1:2" ht="15" customHeight="1" x14ac:dyDescent="0.3">
      <c r="A6" s="133" t="s">
        <v>713</v>
      </c>
      <c r="B6" s="134" t="s">
        <v>1491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1492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1493</v>
      </c>
    </row>
    <row r="11" spans="1:2" ht="15" customHeight="1" x14ac:dyDescent="0.3">
      <c r="A11" s="133" t="s">
        <v>725</v>
      </c>
      <c r="B11" s="134" t="s">
        <v>1494</v>
      </c>
    </row>
    <row r="12" spans="1:2" ht="15" customHeight="1" x14ac:dyDescent="0.3">
      <c r="A12" s="133" t="s">
        <v>34</v>
      </c>
      <c r="B12" s="134" t="s">
        <v>1495</v>
      </c>
    </row>
    <row r="13" spans="1:2" ht="15" customHeight="1" x14ac:dyDescent="0.3">
      <c r="A13" s="133" t="s">
        <v>732</v>
      </c>
      <c r="B13" s="134" t="s">
        <v>887</v>
      </c>
    </row>
    <row r="14" spans="1:2" ht="15" customHeight="1" x14ac:dyDescent="0.3">
      <c r="A14" s="133" t="s">
        <v>39</v>
      </c>
      <c r="B14" s="134" t="s">
        <v>1050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1496</v>
      </c>
    </row>
    <row r="17" spans="1:2" ht="30" customHeight="1" x14ac:dyDescent="0.3">
      <c r="A17" s="133" t="s">
        <v>743</v>
      </c>
      <c r="B17" s="134" t="s">
        <v>1497</v>
      </c>
    </row>
    <row r="18" spans="1:2" ht="15" customHeight="1" x14ac:dyDescent="0.3">
      <c r="A18" s="133" t="s">
        <v>745</v>
      </c>
      <c r="B18" s="134" t="s">
        <v>1498</v>
      </c>
    </row>
    <row r="19" spans="1:2" ht="15" customHeight="1" x14ac:dyDescent="0.3">
      <c r="A19" s="133" t="s">
        <v>750</v>
      </c>
      <c r="B19" s="134" t="s">
        <v>1469</v>
      </c>
    </row>
    <row r="20" spans="1:2" ht="30" customHeight="1" x14ac:dyDescent="0.3">
      <c r="A20" s="133" t="s">
        <v>752</v>
      </c>
      <c r="B20" s="134" t="s">
        <v>1499</v>
      </c>
    </row>
    <row r="21" spans="1:2" ht="45.75" customHeight="1" x14ac:dyDescent="0.3">
      <c r="A21" s="133" t="s">
        <v>754</v>
      </c>
      <c r="B21" s="134" t="s">
        <v>1500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1501</v>
      </c>
    </row>
    <row r="24" spans="1:2" ht="15" customHeight="1" x14ac:dyDescent="0.3">
      <c r="A24" s="133" t="s">
        <v>765</v>
      </c>
      <c r="B24" s="134" t="s">
        <v>1502</v>
      </c>
    </row>
    <row r="25" spans="1:2" ht="15" customHeight="1" x14ac:dyDescent="0.3">
      <c r="A25" s="133" t="s">
        <v>768</v>
      </c>
      <c r="B25" s="134" t="s">
        <v>1503</v>
      </c>
    </row>
    <row r="26" spans="1:2" ht="15" customHeight="1" x14ac:dyDescent="0.3">
      <c r="A26" s="133" t="s">
        <v>772</v>
      </c>
      <c r="B26" s="134" t="s">
        <v>1504</v>
      </c>
    </row>
    <row r="27" spans="1:2" ht="30" customHeight="1" x14ac:dyDescent="0.3">
      <c r="A27" s="133" t="s">
        <v>777</v>
      </c>
      <c r="B27" s="134" t="s">
        <v>1505</v>
      </c>
    </row>
    <row r="28" spans="1:2" ht="30" customHeight="1" x14ac:dyDescent="0.3">
      <c r="A28" s="133" t="s">
        <v>783</v>
      </c>
      <c r="B28" s="134" t="s">
        <v>1506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1507</v>
      </c>
    </row>
    <row r="31" spans="1:2" ht="15" customHeight="1" x14ac:dyDescent="0.3">
      <c r="A31" s="133" t="s">
        <v>59</v>
      </c>
      <c r="B31" s="134" t="s">
        <v>1508</v>
      </c>
    </row>
    <row r="32" spans="1:2" ht="15" customHeight="1" x14ac:dyDescent="0.3">
      <c r="A32" s="133" t="s">
        <v>63</v>
      </c>
      <c r="B32" s="134" t="s">
        <v>1452</v>
      </c>
    </row>
    <row r="33" spans="1:2" ht="15" customHeight="1" x14ac:dyDescent="0.3">
      <c r="A33" s="133" t="s">
        <v>796</v>
      </c>
      <c r="B33" s="134" t="s">
        <v>1509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805</v>
      </c>
    </row>
    <row r="37" spans="1:2" ht="15" customHeight="1" x14ac:dyDescent="0.3">
      <c r="A37" s="133" t="s">
        <v>810</v>
      </c>
      <c r="B37" s="134" t="s">
        <v>905</v>
      </c>
    </row>
    <row r="38" spans="1:2" ht="15" customHeight="1" x14ac:dyDescent="0.3">
      <c r="A38" s="133" t="s">
        <v>816</v>
      </c>
      <c r="B38" s="134" t="s">
        <v>1510</v>
      </c>
    </row>
    <row r="39" spans="1:2" ht="30" customHeight="1" x14ac:dyDescent="0.3">
      <c r="A39" s="133" t="s">
        <v>818</v>
      </c>
      <c r="B39" s="134" t="s">
        <v>1511</v>
      </c>
    </row>
    <row r="40" spans="1:2" ht="15" customHeight="1" x14ac:dyDescent="0.3">
      <c r="A40" s="133" t="s">
        <v>820</v>
      </c>
      <c r="B40" s="134" t="s">
        <v>1512</v>
      </c>
    </row>
    <row r="41" spans="1:2" ht="15" customHeight="1" x14ac:dyDescent="0.3">
      <c r="A41" s="133" t="s">
        <v>45</v>
      </c>
      <c r="B41" s="134" t="s">
        <v>909</v>
      </c>
    </row>
    <row r="42" spans="1:2" ht="15" customHeight="1" x14ac:dyDescent="0.3">
      <c r="A42" s="133" t="s">
        <v>829</v>
      </c>
      <c r="B42" s="134" t="s">
        <v>1513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1514</v>
      </c>
    </row>
    <row r="45" spans="1:2" ht="15" customHeight="1" x14ac:dyDescent="0.3">
      <c r="A45" s="133" t="s">
        <v>834</v>
      </c>
      <c r="B45" s="134" t="s">
        <v>1515</v>
      </c>
    </row>
    <row r="46" spans="1:2" ht="15" customHeight="1" x14ac:dyDescent="0.3">
      <c r="A46" s="133" t="s">
        <v>835</v>
      </c>
      <c r="B46" s="134" t="s">
        <v>1516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948</v>
      </c>
    </row>
    <row r="49" spans="1:2" ht="15" customHeight="1" x14ac:dyDescent="0.3">
      <c r="A49" s="133" t="s">
        <v>840</v>
      </c>
      <c r="B49" s="134" t="s">
        <v>1517</v>
      </c>
    </row>
    <row r="50" spans="1:2" ht="15" customHeight="1" x14ac:dyDescent="0.3">
      <c r="A50" s="133" t="s">
        <v>842</v>
      </c>
      <c r="B50" s="134" t="s">
        <v>1518</v>
      </c>
    </row>
    <row r="51" spans="1:2" ht="15" customHeight="1" x14ac:dyDescent="0.3">
      <c r="A51" s="133" t="s">
        <v>879</v>
      </c>
      <c r="B51" s="134" t="s">
        <v>1519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1520</v>
      </c>
    </row>
    <row r="6" spans="1:2" ht="15" customHeight="1" x14ac:dyDescent="0.3">
      <c r="A6" s="133" t="s">
        <v>713</v>
      </c>
      <c r="B6" s="134" t="s">
        <v>1521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1522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1276</v>
      </c>
    </row>
    <row r="11" spans="1:2" ht="15" customHeight="1" x14ac:dyDescent="0.3">
      <c r="A11" s="133" t="s">
        <v>725</v>
      </c>
      <c r="B11" s="134" t="s">
        <v>956</v>
      </c>
    </row>
    <row r="12" spans="1:2" ht="15" customHeight="1" x14ac:dyDescent="0.3">
      <c r="A12" s="133" t="s">
        <v>34</v>
      </c>
      <c r="B12" s="134" t="s">
        <v>957</v>
      </c>
    </row>
    <row r="13" spans="1:2" ht="15" customHeight="1" x14ac:dyDescent="0.3">
      <c r="A13" s="133" t="s">
        <v>732</v>
      </c>
      <c r="B13" s="134" t="s">
        <v>887</v>
      </c>
    </row>
    <row r="14" spans="1:2" ht="15" customHeight="1" x14ac:dyDescent="0.3">
      <c r="A14" s="133" t="s">
        <v>39</v>
      </c>
      <c r="B14" s="134" t="s">
        <v>958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1523</v>
      </c>
    </row>
    <row r="17" spans="1:2" ht="30" customHeight="1" x14ac:dyDescent="0.3">
      <c r="A17" s="133" t="s">
        <v>743</v>
      </c>
      <c r="B17" s="134" t="s">
        <v>1524</v>
      </c>
    </row>
    <row r="18" spans="1:2" ht="15" customHeight="1" x14ac:dyDescent="0.3">
      <c r="A18" s="133" t="s">
        <v>745</v>
      </c>
      <c r="B18" s="134" t="s">
        <v>1525</v>
      </c>
    </row>
    <row r="19" spans="1:2" ht="15" customHeight="1" x14ac:dyDescent="0.3">
      <c r="A19" s="133" t="s">
        <v>750</v>
      </c>
      <c r="B19" s="134" t="s">
        <v>751</v>
      </c>
    </row>
    <row r="20" spans="1:2" ht="30" customHeight="1" x14ac:dyDescent="0.3">
      <c r="A20" s="133" t="s">
        <v>752</v>
      </c>
      <c r="B20" s="134" t="s">
        <v>1526</v>
      </c>
    </row>
    <row r="21" spans="1:2" ht="45.75" customHeight="1" x14ac:dyDescent="0.3">
      <c r="A21" s="133" t="s">
        <v>754</v>
      </c>
      <c r="B21" s="134" t="s">
        <v>1527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1528</v>
      </c>
    </row>
    <row r="24" spans="1:2" ht="15" customHeight="1" x14ac:dyDescent="0.3">
      <c r="A24" s="133" t="s">
        <v>765</v>
      </c>
      <c r="B24" s="134" t="s">
        <v>1529</v>
      </c>
    </row>
    <row r="25" spans="1:2" ht="15" customHeight="1" x14ac:dyDescent="0.3">
      <c r="A25" s="133" t="s">
        <v>768</v>
      </c>
      <c r="B25" s="134" t="s">
        <v>1530</v>
      </c>
    </row>
    <row r="26" spans="1:2" ht="15" customHeight="1" x14ac:dyDescent="0.3">
      <c r="A26" s="133" t="s">
        <v>772</v>
      </c>
      <c r="B26" s="134" t="s">
        <v>1531</v>
      </c>
    </row>
    <row r="27" spans="1:2" ht="30" customHeight="1" x14ac:dyDescent="0.3">
      <c r="A27" s="133" t="s">
        <v>777</v>
      </c>
      <c r="B27" s="134" t="s">
        <v>1532</v>
      </c>
    </row>
    <row r="28" spans="1:2" ht="15" customHeight="1" x14ac:dyDescent="0.3">
      <c r="A28" s="133" t="s">
        <v>783</v>
      </c>
      <c r="B28" s="134" t="s">
        <v>1533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1534</v>
      </c>
    </row>
    <row r="31" spans="1:2" ht="15" customHeight="1" x14ac:dyDescent="0.3">
      <c r="A31" s="133" t="s">
        <v>59</v>
      </c>
      <c r="B31" s="134" t="s">
        <v>938</v>
      </c>
    </row>
    <row r="32" spans="1:2" ht="15" customHeight="1" x14ac:dyDescent="0.3">
      <c r="A32" s="133" t="s">
        <v>63</v>
      </c>
      <c r="B32" s="134" t="s">
        <v>1535</v>
      </c>
    </row>
    <row r="33" spans="1:2" ht="15" customHeight="1" x14ac:dyDescent="0.3">
      <c r="A33" s="133" t="s">
        <v>796</v>
      </c>
      <c r="B33" s="134" t="s">
        <v>904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805</v>
      </c>
    </row>
    <row r="37" spans="1:2" ht="15" customHeight="1" x14ac:dyDescent="0.3">
      <c r="A37" s="133" t="s">
        <v>810</v>
      </c>
      <c r="B37" s="134" t="s">
        <v>905</v>
      </c>
    </row>
    <row r="38" spans="1:2" ht="15" customHeight="1" x14ac:dyDescent="0.3">
      <c r="A38" s="133" t="s">
        <v>816</v>
      </c>
      <c r="B38" s="134" t="s">
        <v>1536</v>
      </c>
    </row>
    <row r="39" spans="1:2" ht="30" customHeight="1" x14ac:dyDescent="0.3">
      <c r="A39" s="133" t="s">
        <v>818</v>
      </c>
      <c r="B39" s="134" t="s">
        <v>1537</v>
      </c>
    </row>
    <row r="40" spans="1:2" ht="30" customHeight="1" x14ac:dyDescent="0.3">
      <c r="A40" s="133" t="s">
        <v>820</v>
      </c>
      <c r="B40" s="134" t="s">
        <v>1538</v>
      </c>
    </row>
    <row r="41" spans="1:2" ht="15" customHeight="1" x14ac:dyDescent="0.3">
      <c r="A41" s="133" t="s">
        <v>45</v>
      </c>
      <c r="B41" s="134" t="s">
        <v>1539</v>
      </c>
    </row>
    <row r="42" spans="1:2" ht="15" customHeight="1" x14ac:dyDescent="0.3">
      <c r="A42" s="133" t="s">
        <v>829</v>
      </c>
      <c r="B42" s="134" t="s">
        <v>1540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1541</v>
      </c>
    </row>
    <row r="45" spans="1:2" ht="15" customHeight="1" x14ac:dyDescent="0.3">
      <c r="A45" s="133" t="s">
        <v>834</v>
      </c>
      <c r="B45" s="134" t="s">
        <v>1542</v>
      </c>
    </row>
    <row r="46" spans="1:2" ht="30" customHeight="1" x14ac:dyDescent="0.3">
      <c r="A46" s="133" t="s">
        <v>835</v>
      </c>
      <c r="B46" s="134" t="s">
        <v>1543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1544</v>
      </c>
    </row>
    <row r="49" spans="1:2" ht="15" customHeight="1" x14ac:dyDescent="0.3">
      <c r="A49" s="133" t="s">
        <v>840</v>
      </c>
      <c r="B49" s="134" t="s">
        <v>1545</v>
      </c>
    </row>
    <row r="50" spans="1:2" ht="15" customHeight="1" x14ac:dyDescent="0.3">
      <c r="A50" s="133" t="s">
        <v>842</v>
      </c>
      <c r="B50" s="134" t="s">
        <v>1136</v>
      </c>
    </row>
    <row r="51" spans="1:2" ht="30" customHeight="1" x14ac:dyDescent="0.3">
      <c r="A51" s="133" t="s">
        <v>879</v>
      </c>
      <c r="B51" s="134" t="s">
        <v>1546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5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5546875" defaultRowHeight="14.4" x14ac:dyDescent="0.3"/>
  <cols>
    <col min="1" max="1" width="34" customWidth="1"/>
    <col min="2" max="2" width="78" customWidth="1"/>
  </cols>
  <sheetData>
    <row r="1" spans="1:2" ht="30" customHeight="1" x14ac:dyDescent="0.3">
      <c r="A1" s="145" t="s">
        <v>708</v>
      </c>
      <c r="B1" s="145"/>
    </row>
    <row r="2" spans="1:2" ht="54" customHeight="1" x14ac:dyDescent="0.3">
      <c r="A2" s="146" t="s">
        <v>845</v>
      </c>
      <c r="B2" s="146"/>
    </row>
    <row r="3" spans="1:2" ht="15" customHeight="1" x14ac:dyDescent="0.3"/>
    <row r="4" spans="1:2" ht="21.75" customHeight="1" x14ac:dyDescent="0.3">
      <c r="A4" s="147" t="s">
        <v>710</v>
      </c>
      <c r="B4" s="147"/>
    </row>
    <row r="5" spans="1:2" ht="15" customHeight="1" x14ac:dyDescent="0.3">
      <c r="A5" s="133" t="s">
        <v>711</v>
      </c>
      <c r="B5" s="134" t="s">
        <v>1547</v>
      </c>
    </row>
    <row r="6" spans="1:2" ht="15" customHeight="1" x14ac:dyDescent="0.3">
      <c r="A6" s="133" t="s">
        <v>713</v>
      </c>
      <c r="B6" s="134" t="s">
        <v>1548</v>
      </c>
    </row>
    <row r="7" spans="1:2" ht="15" customHeight="1" x14ac:dyDescent="0.3">
      <c r="A7" s="133" t="s">
        <v>715</v>
      </c>
      <c r="B7" s="134" t="s">
        <v>848</v>
      </c>
    </row>
    <row r="8" spans="1:2" ht="15" customHeight="1" x14ac:dyDescent="0.3">
      <c r="A8" s="133" t="s">
        <v>717</v>
      </c>
      <c r="B8" s="134" t="s">
        <v>1549</v>
      </c>
    </row>
    <row r="9" spans="1:2" ht="21.75" customHeight="1" x14ac:dyDescent="0.3">
      <c r="A9" s="147" t="s">
        <v>719</v>
      </c>
      <c r="B9" s="147"/>
    </row>
    <row r="10" spans="1:2" ht="15" customHeight="1" x14ac:dyDescent="0.3">
      <c r="A10" s="133" t="s">
        <v>720</v>
      </c>
      <c r="B10" s="134" t="s">
        <v>1113</v>
      </c>
    </row>
    <row r="11" spans="1:2" ht="15" customHeight="1" x14ac:dyDescent="0.3">
      <c r="A11" s="133" t="s">
        <v>725</v>
      </c>
      <c r="B11" s="134" t="s">
        <v>956</v>
      </c>
    </row>
    <row r="12" spans="1:2" ht="15" customHeight="1" x14ac:dyDescent="0.3">
      <c r="A12" s="133" t="s">
        <v>34</v>
      </c>
      <c r="B12" s="134" t="s">
        <v>957</v>
      </c>
    </row>
    <row r="13" spans="1:2" ht="15" customHeight="1" x14ac:dyDescent="0.3">
      <c r="A13" s="133" t="s">
        <v>732</v>
      </c>
      <c r="B13" s="134" t="s">
        <v>1550</v>
      </c>
    </row>
    <row r="14" spans="1:2" ht="15" customHeight="1" x14ac:dyDescent="0.3">
      <c r="A14" s="133" t="s">
        <v>39</v>
      </c>
      <c r="B14" s="134" t="s">
        <v>853</v>
      </c>
    </row>
    <row r="15" spans="1:2" ht="21.75" customHeight="1" x14ac:dyDescent="0.3">
      <c r="A15" s="147" t="s">
        <v>737</v>
      </c>
      <c r="B15" s="147"/>
    </row>
    <row r="16" spans="1:2" ht="30" customHeight="1" x14ac:dyDescent="0.3">
      <c r="A16" s="133" t="s">
        <v>738</v>
      </c>
      <c r="B16" s="134" t="s">
        <v>1551</v>
      </c>
    </row>
    <row r="17" spans="1:2" ht="30" customHeight="1" x14ac:dyDescent="0.3">
      <c r="A17" s="133" t="s">
        <v>743</v>
      </c>
      <c r="B17" s="134" t="s">
        <v>1552</v>
      </c>
    </row>
    <row r="18" spans="1:2" ht="15" customHeight="1" x14ac:dyDescent="0.3">
      <c r="A18" s="133" t="s">
        <v>745</v>
      </c>
      <c r="B18" s="134" t="s">
        <v>1553</v>
      </c>
    </row>
    <row r="19" spans="1:2" ht="15" customHeight="1" x14ac:dyDescent="0.3">
      <c r="A19" s="133" t="s">
        <v>750</v>
      </c>
      <c r="B19" s="134" t="s">
        <v>892</v>
      </c>
    </row>
    <row r="20" spans="1:2" ht="15" customHeight="1" x14ac:dyDescent="0.3">
      <c r="A20" s="133" t="s">
        <v>752</v>
      </c>
      <c r="B20" s="134" t="s">
        <v>1554</v>
      </c>
    </row>
    <row r="21" spans="1:2" ht="45.75" customHeight="1" x14ac:dyDescent="0.3">
      <c r="A21" s="133" t="s">
        <v>754</v>
      </c>
      <c r="B21" s="134" t="s">
        <v>1555</v>
      </c>
    </row>
    <row r="22" spans="1:2" ht="21.75" customHeight="1" x14ac:dyDescent="0.3">
      <c r="A22" s="147" t="s">
        <v>760</v>
      </c>
      <c r="B22" s="147"/>
    </row>
    <row r="23" spans="1:2" ht="15" customHeight="1" x14ac:dyDescent="0.3">
      <c r="A23" s="133" t="s">
        <v>761</v>
      </c>
      <c r="B23" s="134" t="s">
        <v>1556</v>
      </c>
    </row>
    <row r="24" spans="1:2" ht="15" customHeight="1" x14ac:dyDescent="0.3">
      <c r="A24" s="133" t="s">
        <v>765</v>
      </c>
      <c r="B24" s="134" t="s">
        <v>1557</v>
      </c>
    </row>
    <row r="25" spans="1:2" ht="15" customHeight="1" x14ac:dyDescent="0.3">
      <c r="A25" s="133" t="s">
        <v>768</v>
      </c>
      <c r="B25" s="134" t="s">
        <v>1558</v>
      </c>
    </row>
    <row r="26" spans="1:2" ht="15" customHeight="1" x14ac:dyDescent="0.3">
      <c r="A26" s="133" t="s">
        <v>772</v>
      </c>
      <c r="B26" s="134" t="s">
        <v>1559</v>
      </c>
    </row>
    <row r="27" spans="1:2" ht="15" customHeight="1" x14ac:dyDescent="0.3">
      <c r="A27" s="133" t="s">
        <v>777</v>
      </c>
      <c r="B27" s="134" t="s">
        <v>1560</v>
      </c>
    </row>
    <row r="28" spans="1:2" ht="15" customHeight="1" x14ac:dyDescent="0.3">
      <c r="A28" s="133" t="s">
        <v>783</v>
      </c>
      <c r="B28" s="134" t="s">
        <v>1561</v>
      </c>
    </row>
    <row r="29" spans="1:2" ht="21.75" customHeight="1" x14ac:dyDescent="0.3">
      <c r="A29" s="147" t="s">
        <v>786</v>
      </c>
      <c r="B29" s="147"/>
    </row>
    <row r="30" spans="1:2" ht="15" customHeight="1" x14ac:dyDescent="0.3">
      <c r="A30" s="133" t="s">
        <v>550</v>
      </c>
      <c r="B30" s="134" t="s">
        <v>1562</v>
      </c>
    </row>
    <row r="31" spans="1:2" ht="15" customHeight="1" x14ac:dyDescent="0.3">
      <c r="A31" s="133" t="s">
        <v>59</v>
      </c>
      <c r="B31" s="134" t="s">
        <v>1064</v>
      </c>
    </row>
    <row r="32" spans="1:2" ht="15" customHeight="1" x14ac:dyDescent="0.3">
      <c r="A32" s="133" t="s">
        <v>63</v>
      </c>
      <c r="B32" s="134" t="s">
        <v>903</v>
      </c>
    </row>
    <row r="33" spans="1:2" ht="15" customHeight="1" x14ac:dyDescent="0.3">
      <c r="A33" s="133" t="s">
        <v>796</v>
      </c>
      <c r="B33" s="134" t="s">
        <v>1563</v>
      </c>
    </row>
    <row r="34" spans="1:2" ht="15" customHeight="1" x14ac:dyDescent="0.3">
      <c r="A34" s="133" t="s">
        <v>800</v>
      </c>
      <c r="B34" s="134" t="s">
        <v>733</v>
      </c>
    </row>
    <row r="35" spans="1:2" ht="21.75" customHeight="1" x14ac:dyDescent="0.3">
      <c r="A35" s="147" t="s">
        <v>801</v>
      </c>
      <c r="B35" s="147"/>
    </row>
    <row r="36" spans="1:2" ht="15" customHeight="1" x14ac:dyDescent="0.3">
      <c r="A36" s="133" t="s">
        <v>802</v>
      </c>
      <c r="B36" s="134" t="s">
        <v>804</v>
      </c>
    </row>
    <row r="37" spans="1:2" ht="15" customHeight="1" x14ac:dyDescent="0.3">
      <c r="A37" s="133" t="s">
        <v>810</v>
      </c>
      <c r="B37" s="134" t="s">
        <v>905</v>
      </c>
    </row>
    <row r="38" spans="1:2" ht="15" customHeight="1" x14ac:dyDescent="0.3">
      <c r="A38" s="133" t="s">
        <v>816</v>
      </c>
      <c r="B38" s="134" t="s">
        <v>1564</v>
      </c>
    </row>
    <row r="39" spans="1:2" ht="30" customHeight="1" x14ac:dyDescent="0.3">
      <c r="A39" s="133" t="s">
        <v>818</v>
      </c>
      <c r="B39" s="134" t="s">
        <v>1565</v>
      </c>
    </row>
    <row r="40" spans="1:2" ht="15" customHeight="1" x14ac:dyDescent="0.3">
      <c r="A40" s="133" t="s">
        <v>820</v>
      </c>
      <c r="B40" s="134" t="s">
        <v>1566</v>
      </c>
    </row>
    <row r="41" spans="1:2" ht="15" customHeight="1" x14ac:dyDescent="0.3">
      <c r="A41" s="133" t="s">
        <v>45</v>
      </c>
      <c r="B41" s="134" t="s">
        <v>1567</v>
      </c>
    </row>
    <row r="42" spans="1:2" ht="15" customHeight="1" x14ac:dyDescent="0.3">
      <c r="A42" s="133" t="s">
        <v>829</v>
      </c>
      <c r="B42" s="134" t="s">
        <v>1568</v>
      </c>
    </row>
    <row r="43" spans="1:2" ht="21.75" customHeight="1" x14ac:dyDescent="0.3">
      <c r="A43" s="147" t="s">
        <v>832</v>
      </c>
      <c r="B43" s="147"/>
    </row>
    <row r="44" spans="1:2" ht="15" customHeight="1" x14ac:dyDescent="0.3">
      <c r="A44" s="133" t="s">
        <v>833</v>
      </c>
      <c r="B44" s="134" t="s">
        <v>975</v>
      </c>
    </row>
    <row r="45" spans="1:2" ht="15" customHeight="1" x14ac:dyDescent="0.3">
      <c r="A45" s="133" t="s">
        <v>834</v>
      </c>
      <c r="B45" s="134" t="s">
        <v>1569</v>
      </c>
    </row>
    <row r="46" spans="1:2" ht="15" customHeight="1" x14ac:dyDescent="0.3">
      <c r="A46" s="133" t="s">
        <v>835</v>
      </c>
      <c r="B46" s="134" t="s">
        <v>1570</v>
      </c>
    </row>
    <row r="47" spans="1:2" ht="21.75" customHeight="1" x14ac:dyDescent="0.3">
      <c r="A47" s="147" t="s">
        <v>837</v>
      </c>
      <c r="B47" s="147"/>
    </row>
    <row r="48" spans="1:2" ht="15" customHeight="1" x14ac:dyDescent="0.3">
      <c r="A48" s="133" t="s">
        <v>838</v>
      </c>
      <c r="B48" s="134" t="s">
        <v>914</v>
      </c>
    </row>
    <row r="49" spans="1:2" ht="15" customHeight="1" x14ac:dyDescent="0.3">
      <c r="A49" s="133" t="s">
        <v>840</v>
      </c>
      <c r="B49" s="134" t="s">
        <v>1571</v>
      </c>
    </row>
    <row r="50" spans="1:2" ht="15" customHeight="1" x14ac:dyDescent="0.3">
      <c r="A50" s="133" t="s">
        <v>842</v>
      </c>
      <c r="B50" s="134" t="s">
        <v>1572</v>
      </c>
    </row>
    <row r="51" spans="1:2" ht="15" customHeight="1" x14ac:dyDescent="0.3">
      <c r="A51" s="133" t="s">
        <v>879</v>
      </c>
      <c r="B51" s="134" t="s">
        <v>1573</v>
      </c>
    </row>
    <row r="52" spans="1:2" ht="15" customHeight="1" x14ac:dyDescent="0.3"/>
    <row r="53" spans="1:2" ht="39.75" customHeight="1" x14ac:dyDescent="0.3">
      <c r="A53" s="148" t="s">
        <v>881</v>
      </c>
      <c r="B53" s="148"/>
    </row>
  </sheetData>
  <mergeCells count="11">
    <mergeCell ref="A53:B53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42</vt:i4>
      </vt:variant>
      <vt:variant>
        <vt:lpstr>Benannte Bereiche</vt:lpstr>
      </vt:variant>
      <vt:variant>
        <vt:i4>1</vt:i4>
      </vt:variant>
    </vt:vector>
  </HeadingPairs>
  <TitlesOfParts>
    <vt:vector size="43" baseType="lpstr">
      <vt:lpstr>LISTEN</vt:lpstr>
      <vt:lpstr>Tabelle_zu_Bloom</vt:lpstr>
      <vt:lpstr>BloomBezug</vt:lpstr>
      <vt:lpstr>ErpenbeckBezug</vt:lpstr>
      <vt:lpstr>Bloom&amp;Erpenbeck</vt:lpstr>
      <vt:lpstr>LF_Morphologie</vt:lpstr>
      <vt:lpstr>D1_Geschäftsmodell</vt:lpstr>
      <vt:lpstr>D2_Ziel&amp;Zweck</vt:lpstr>
      <vt:lpstr>D3_Prozess</vt:lpstr>
      <vt:lpstr>D4_Setting</vt:lpstr>
      <vt:lpstr>D5_Produkt</vt:lpstr>
      <vt:lpstr>D6_Didaktik</vt:lpstr>
      <vt:lpstr>D7_Metriken</vt:lpstr>
      <vt:lpstr>D8_Forschung</vt:lpstr>
      <vt:lpstr>FrameworkEntwurf_01</vt:lpstr>
      <vt:lpstr>Modulbewertung</vt:lpstr>
      <vt:lpstr>Modulsteckbrief</vt:lpstr>
      <vt:lpstr>01 RecycleBot – Innovationspote</vt:lpstr>
      <vt:lpstr>02 Scan Your Trash – Image Reco</vt:lpstr>
      <vt:lpstr>03 RecycleBot Labor – YOLO-Trai</vt:lpstr>
      <vt:lpstr>04 Let’s Play with Robots – Ein</vt:lpstr>
      <vt:lpstr>05 Robotik-Anwendungen Lego-Sor</vt:lpstr>
      <vt:lpstr>06 Demo-Fabrik Feldmann – KI-ge</vt:lpstr>
      <vt:lpstr>07 Intelligente Assistenzsystem</vt:lpstr>
      <vt:lpstr>08 Advanced Pick-and-Place &amp; Re</vt:lpstr>
      <vt:lpstr>09 Industrie 4.0 Lernfabrik – V</vt:lpstr>
      <vt:lpstr>10 Factory Supervision &amp; KI-Coc</vt:lpstr>
      <vt:lpstr>11 Data Analytics &amp; Visualisier</vt:lpstr>
      <vt:lpstr>12 Python Basics für Produktion</vt:lpstr>
      <vt:lpstr>13 Sensorik &amp; Messtechnik mit d</vt:lpstr>
      <vt:lpstr>14 EMA &amp; Ergonomie in Montage u</vt:lpstr>
      <vt:lpstr>15 ARVR Basics für Industrieanw</vt:lpstr>
      <vt:lpstr>16 Unity &amp; Blender für digitale</vt:lpstr>
      <vt:lpstr>17 Human-Robot Interaction &amp; Co</vt:lpstr>
      <vt:lpstr>18 Mobile Robotik &amp; AMR-Integra</vt:lpstr>
      <vt:lpstr>19 Humanoid Robot – Machine Ten</vt:lpstr>
      <vt:lpstr>20 Systems Engineering für Manu</vt:lpstr>
      <vt:lpstr>21 Context Inquiry &amp; Problem Po</vt:lpstr>
      <vt:lpstr>22 Digitale Assistenzsysteme &amp; </vt:lpstr>
      <vt:lpstr>23 Remanufacturing-Strategie &amp; </vt:lpstr>
      <vt:lpstr>24 Demontage-Workshop nach iFix</vt:lpstr>
      <vt:lpstr>25 VR-Trainings Montage- und Sc</vt:lpstr>
      <vt:lpstr>RelevanzListe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Hatice Ulubas</dc:creator>
  <dc:description/>
  <cp:lastModifiedBy>Hatice Ulubas</cp:lastModifiedBy>
  <cp:revision>0</cp:revision>
  <dcterms:created xsi:type="dcterms:W3CDTF">2026-06-20T17:30:27Z</dcterms:created>
  <dcterms:modified xsi:type="dcterms:W3CDTF">2026-06-25T19:56:42Z</dcterms:modified>
  <dc:language>en-US</dc:language>
</cp:coreProperties>
</file>