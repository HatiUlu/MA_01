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atic\Downloads\"/>
    </mc:Choice>
  </mc:AlternateContent>
  <xr:revisionPtr revIDLastSave="0" documentId="13_ncr:1_{FAE2536D-5165-4FA8-BFCE-3E2EF4F4FE40}" xr6:coauthVersionLast="47" xr6:coauthVersionMax="47" xr10:uidLastSave="{00000000-0000-0000-0000-000000000000}"/>
  <bookViews>
    <workbookView xWindow="28680" yWindow="-120" windowWidth="29040" windowHeight="15720" tabRatio="946" firstSheet="1" activeTab="20" xr2:uid="{00000000-000D-0000-FFFF-FFFF00000000}"/>
  </bookViews>
  <sheets>
    <sheet name="Learning Factory Module Overvie" sheetId="1" r:id="rId1"/>
    <sheet name="LISTEN" sheetId="2" r:id="rId2"/>
    <sheet name="Tabelle_zu_Bloom" sheetId="3" r:id="rId3"/>
    <sheet name="BloomBezug" sheetId="4" r:id="rId4"/>
    <sheet name="ErpenbeckBezug" sheetId="5" r:id="rId5"/>
    <sheet name="Bloom&amp;Erpenbeck" sheetId="6" r:id="rId6"/>
    <sheet name="LF_Morphologie" sheetId="7" state="hidden" r:id="rId7"/>
    <sheet name="D1_Geschäftsmodell" sheetId="8" state="hidden" r:id="rId8"/>
    <sheet name="D2_Ziel&amp;Zweck" sheetId="9" state="hidden" r:id="rId9"/>
    <sheet name="D3_Prozess" sheetId="10" state="hidden" r:id="rId10"/>
    <sheet name="D4_Setting" sheetId="11" state="hidden" r:id="rId11"/>
    <sheet name="D5_Produkt" sheetId="12" state="hidden" r:id="rId12"/>
    <sheet name="D6_Didaktik" sheetId="13" state="hidden" r:id="rId13"/>
    <sheet name="D7_Metriken" sheetId="14" state="hidden" r:id="rId14"/>
    <sheet name="D8_Forschung" sheetId="15" state="hidden" r:id="rId15"/>
    <sheet name="FrameworkEntwurf_01" sheetId="16" r:id="rId16"/>
    <sheet name="Modulbewertung" sheetId="17" r:id="rId17"/>
    <sheet name="Modulsteckbrief" sheetId="18" r:id="rId18"/>
    <sheet name="Module_Schwarzer" sheetId="19" r:id="rId19"/>
    <sheet name="Modulsteckbrief_Schwarzer" sheetId="20" r:id="rId20"/>
    <sheet name="Modulbewertung_Schwarzer" sheetId="21" r:id="rId21"/>
  </sheets>
  <definedNames>
    <definedName name="_xlnm._FilterDatabase" localSheetId="15" hidden="1">FrameworkEntwurf_01!$E$1:$E$101</definedName>
    <definedName name="ExterneDaten_1" localSheetId="0" hidden="1">'Learning Factory Module Overvie'!$A$1:$E$27</definedName>
    <definedName name="ExterneDaten_1" localSheetId="2" hidden="1">Tabelle_zu_Bloom!$A$1:$A$7</definedName>
    <definedName name="RelevanzListe">LISTEN!$A$2:$A$6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6" i="21" l="1"/>
  <c r="E45" i="21"/>
  <c r="E44" i="21"/>
  <c r="E43" i="21"/>
  <c r="E42" i="21"/>
  <c r="E41" i="21"/>
  <c r="E40" i="21"/>
  <c r="E39" i="21"/>
  <c r="E38" i="21"/>
  <c r="E35" i="21"/>
  <c r="E34" i="21"/>
  <c r="E33" i="21"/>
  <c r="E32" i="21"/>
  <c r="E31" i="21"/>
  <c r="E30" i="21"/>
  <c r="E29" i="21"/>
  <c r="E28" i="21"/>
  <c r="E25" i="21"/>
  <c r="E24" i="21"/>
  <c r="E23" i="21"/>
  <c r="E22" i="21"/>
  <c r="E21" i="21"/>
  <c r="E20" i="21"/>
  <c r="E19" i="21"/>
  <c r="E18" i="21"/>
  <c r="E17" i="21"/>
  <c r="E16" i="21"/>
  <c r="E15" i="21"/>
  <c r="E14" i="21"/>
  <c r="E13" i="21"/>
  <c r="E10" i="21"/>
  <c r="E9" i="21"/>
  <c r="E8" i="21"/>
  <c r="E7" i="21"/>
  <c r="E52" i="17"/>
  <c r="E51" i="17"/>
  <c r="E50" i="17"/>
  <c r="E49" i="17"/>
  <c r="E48" i="17"/>
  <c r="E47" i="17"/>
  <c r="E46" i="17"/>
  <c r="E45" i="17"/>
  <c r="E44" i="17"/>
  <c r="E43" i="17"/>
  <c r="E42" i="17"/>
  <c r="E53" i="17" s="1"/>
  <c r="E38" i="17"/>
  <c r="E37" i="17"/>
  <c r="E36" i="17"/>
  <c r="E35" i="17"/>
  <c r="E34" i="17"/>
  <c r="E33" i="17"/>
  <c r="E32" i="17"/>
  <c r="E31" i="17"/>
  <c r="E39" i="17" s="1"/>
  <c r="E27" i="17"/>
  <c r="E26" i="17"/>
  <c r="E25" i="17"/>
  <c r="E24" i="17"/>
  <c r="E23" i="17"/>
  <c r="E22" i="17"/>
  <c r="E21" i="17"/>
  <c r="E20" i="17"/>
  <c r="E19" i="17"/>
  <c r="E18" i="17"/>
  <c r="E17" i="17"/>
  <c r="E16" i="17"/>
  <c r="E15" i="17"/>
  <c r="E28" i="17" s="1"/>
  <c r="E11" i="17"/>
  <c r="E12" i="17" s="1"/>
  <c r="E10" i="17"/>
  <c r="E9" i="17"/>
  <c r="E8" i="17"/>
  <c r="E55" i="17" s="1"/>
  <c r="E49" i="21" l="1"/>
  <c r="E36" i="21"/>
  <c r="E26" i="21"/>
  <c r="E11" i="21"/>
  <c r="E51" i="21"/>
</calcChain>
</file>

<file path=xl/sharedStrings.xml><?xml version="1.0" encoding="utf-8"?>
<sst xmlns="http://schemas.openxmlformats.org/spreadsheetml/2006/main" count="2308" uniqueCount="1224">
  <si>
    <t>Titel</t>
  </si>
  <si>
    <t>Kurzbeschreibung</t>
  </si>
  <si>
    <t>Zielgruppe</t>
  </si>
  <si>
    <t>Level</t>
  </si>
  <si>
    <t>Zustand</t>
  </si>
  <si>
    <t>Ansprechpartner</t>
  </si>
  <si>
    <t>RecycleBot – Innovationspotenziale der Kreislaufwirtschaft</t>
  </si>
  <si>
    <t>Diskussions- und Demonstrationsmodul zu KI-gestützter Müllsortierung und robotischer Kreislaufwirtschaft als Innovationsfeld für produzierende Unternehmen.</t>
  </si>
  <si>
    <t>Industrie, Innovationsmanager, Studierende</t>
  </si>
  <si>
    <t>Intermediate</t>
  </si>
  <si>
    <t>To be developed (wenig Aufwand, Partnerschaft Hörger/GOA nötig)</t>
  </si>
  <si>
    <t>RecycleBot</t>
  </si>
  <si>
    <t>Scan Your Trash – Image Recognition verstehen und anwenden</t>
  </si>
  <si>
    <t>Praxisworkshop zur Funktionsweise von Bildklassifikation am Beispiel einer Müll-Erkennungs-App für Einsteigergruppen.</t>
  </si>
  <si>
    <t>Schüler:innen, Studierende</t>
  </si>
  <si>
    <t>Basic</t>
  </si>
  <si>
    <t>Fertig, erprobt mit Schüler:innen und Studis</t>
  </si>
  <si>
    <t>Scan Your Trash</t>
  </si>
  <si>
    <t>RecycleBot Labor – YOLO-Training und robotische Umsetzung</t>
  </si>
  <si>
    <t>Hands-on-Modul zur Entwicklung eines eigenen Objekterkennungsmodells und Implementierung auf einer Roboterzelle zur automatisierten Sortierung.</t>
  </si>
  <si>
    <t>Studierende, Industrie</t>
  </si>
  <si>
    <t>Advanced</t>
  </si>
  <si>
    <t>Existierender Laborbetrieb, fehlt didaktisches Konzept</t>
  </si>
  <si>
    <t>RecycleBot Labor</t>
  </si>
  <si>
    <t>Let’s Play with Robots – Einstieg in Industrierobotik</t>
  </si>
  <si>
    <t>Niedrigschwelliger Praxisworkshop zur Programmierung von Universal Robots, Neura oder Unity-basierten Robotersystemen.</t>
  </si>
  <si>
    <t>Basic–Intermediate</t>
  </si>
  <si>
    <t>Fertig, erprobt mit Studis</t>
  </si>
  <si>
    <t>Let’s Play with Robots</t>
  </si>
  <si>
    <t>Robotik-Anwendungen: Lego-Sortierung &amp; Paint Robot</t>
  </si>
  <si>
    <t>Motivationsmodul zur Vermittlung grundlegender Pick-and-Place- und Bahnplanungsprinzipien anhand spielerischer Roboterszenarien.</t>
  </si>
  <si>
    <t>Studierende</t>
  </si>
  <si>
    <t>Fertig, eher Demonstrator (Tag der offenen Tür)</t>
  </si>
  <si>
    <t>Tag der offenen; eher Demonstrator (Tag der offenen Tür</t>
  </si>
  <si>
    <t>Demo-Fabrik Feldmann – KI-gestützte Produktionssimulation</t>
  </si>
  <si>
    <t>Interaktive Demonstration einer modularen Lernfabrik mit KI-Integration zur Veranschaulichung datengetriebener Produktionsprozesse.</t>
  </si>
  <si>
    <t>Industrie, Messen, Studierende</t>
  </si>
  <si>
    <t>Fertig (Sebastian Feldmann Aufbau für Hannovermesse)</t>
  </si>
  <si>
    <t>Sebastian Feldmann</t>
  </si>
  <si>
    <t>Intelligente Assistenzsysteme – Pick-by-Light &amp; Werkerführung</t>
  </si>
  <si>
    <t>Explorationsmodul zu digitalen Assistenzsystemen und kognitiver Unterstützung in Montage- und Logistikprozessen.</t>
  </si>
  <si>
    <t>Industrie</t>
  </si>
  <si>
    <t>In Entwicklung im Kontext REPAIR (kein fertiges Schulungskonzept)</t>
  </si>
  <si>
    <t>kein fertiges; Schulungskonzept</t>
  </si>
  <si>
    <t>Advanced Pick-and-Place &amp; Reassemble Taskboard</t>
  </si>
  <si>
    <t>Low-Code-Modul zur modularen Programmierung und Analyse robotischer Montage- und Demontageprozesse im Repair-Kontext.</t>
  </si>
  <si>
    <t>Industrie, Studierende</t>
  </si>
  <si>
    <t>Technik Nahezu fertig (Sharon, APS)</t>
  </si>
  <si>
    <t>Sharon; APS</t>
  </si>
  <si>
    <t>Industrie 4.0 Lernfabrik – Vernetzte Produktionssysteme</t>
  </si>
  <si>
    <t>Überblicks- und Anwendungskurs zu IoT-Integration, Datenvernetzung und cyber-physischen Systemen in der Fertigung.</t>
  </si>
  <si>
    <t>Macht Nicole/Steffen bereits? Lässt sich sicher weiter unterteilen</t>
  </si>
  <si>
    <t>Industrie 4.0 Lernfabrik; Nicole Stricker; Steffen Schwarzer</t>
  </si>
  <si>
    <t>Factory Supervision &amp; KI-Cockpit</t>
  </si>
  <si>
    <t>Workshop zur Entwicklung und Bewertung datenbasierter Dashboards für Produktionsüberwachung und 360°-Fabriktransparenz.</t>
  </si>
  <si>
    <t>Technik fertig, müsste man dran rumbauen damit das ein "Kurs" ist</t>
  </si>
  <si>
    <t>Factory Supervision; KI-Cockpit</t>
  </si>
  <si>
    <t>Data Analytics &amp; Visualisierung für Manufacturing</t>
  </si>
  <si>
    <t>Praxisorientierter Kurs zur Datenexploration, Dashboard-Entwicklung und Entscheidungsunterstützung in Produktionsumgebungen.</t>
  </si>
  <si>
    <t>vermutlich sinnvoll weiter unterteilen, unser Kurs läuft in Graduate Campus "Data Analytics", aktuell kein Maschinenbezug nur Python</t>
  </si>
  <si>
    <t>Graduate Campus; Data Analytics</t>
  </si>
  <si>
    <t>Python Basics für Produktionsdaten</t>
  </si>
  <si>
    <t>Einführungskurs in Python zur Analyse, Verarbeitung und Visualisierung industrieller Daten.</t>
  </si>
  <si>
    <t>Wir haben da was aber wirklich mit "ich hole die Daten aus der Maschine" nicht</t>
  </si>
  <si>
    <t>Sensorik &amp; Messtechnik mit der Learning Factory Box</t>
  </si>
  <si>
    <t>Grundlagenmodul zu industrieller Sensorik und Datenerfassung mit Arduino-basierten Demonstratoren.</t>
  </si>
  <si>
    <t>Fertiges laufendes Konzept (aktuell nur Arduino, nicht Factory Box), Schulungsunterlagen FactoryBox sind aber kurz vor Fertigstellung https://learningfactorybox.com/</t>
  </si>
  <si>
    <t>EMA &amp; Ergonomie in Montage und Demontage</t>
  </si>
  <si>
    <t>Praxisworkshop zur digitalen Modellierung, ergonomischen Bewertung und physischen Validierung von Arbeitsprozessen.</t>
  </si>
  <si>
    <t>Fertig (Lorena), läuft jetzt im SoSe das erste mal</t>
  </si>
  <si>
    <t>Lorena</t>
  </si>
  <si>
    <t>AR/VR Basics für Industrieanwendungen</t>
  </si>
  <si>
    <t>Einführung in die Entwicklung und Nutzung von Augmented- und Virtual-Reality-Anwendungen für industrielle Szenarien.</t>
  </si>
  <si>
    <t>Vorhanden Jonas</t>
  </si>
  <si>
    <t>Jonas</t>
  </si>
  <si>
    <t>Unity &amp; Blender für digitale Fabrikmodelle</t>
  </si>
  <si>
    <t>Praxisworkshop zur Erstellung und Visualisierung digitaler Anlagenmodelle für Trainings- und Planungszwecke.</t>
  </si>
  <si>
    <t>Vorhanden Lukas, Uwe</t>
  </si>
  <si>
    <t>Lukas; Uwe</t>
  </si>
  <si>
    <t>Human-Robot Interaction &amp; Communication of Intent</t>
  </si>
  <si>
    <t>Vertiefungsmodul zu kooperativer Mensch-Roboter-Interaktion, Trajektorienplanung und Intent-Kommunikation.</t>
  </si>
  <si>
    <t>Industrie, Forschende</t>
  </si>
  <si>
    <t>Teilweise vorhanden (EIT Manufacturing), Praxisintegration hier fehlt bislang (ist aber in REPAIR geplant)</t>
  </si>
  <si>
    <t>RePAIR; HRI</t>
  </si>
  <si>
    <t>Mobile Robotik &amp; AMR-Integration</t>
  </si>
  <si>
    <t>Praxisworkshop zu autonomen mobilen Robotern und deren Integration in bestehende Produktionsumgebungen.</t>
  </si>
  <si>
    <t>Intermediate–Advanced</t>
  </si>
  <si>
    <t>Teilweise vorhanden (EIT Manufacturing), Praxisintegration hier fehlt bislang (wenn wir kein AMR kaufen eher nicht)</t>
  </si>
  <si>
    <t>Humanoid Robot – Machine Tending Use Case</t>
  </si>
  <si>
    <t>Demonstrations- und Implementierungsmodul zur Nutzung humanoider Robotik für Maschinenbedienungsszenarien.</t>
  </si>
  <si>
    <t>Wir (Tilman) haben Demo Use Case, Workshop  mit Humanoiden zusammen mit Team Feldmann kann man aber denk ich anbieten</t>
  </si>
  <si>
    <t>Tilman; Sebastian Feldmann</t>
  </si>
  <si>
    <t>Systems Engineering für Manufacturing</t>
  </si>
  <si>
    <t>Methodenworkshop zu Systems Thinking, Modellierung und strukturiertem Entwurf komplexer Produktionssysteme.</t>
  </si>
  <si>
    <t>Hab ich rumliegen, mach ich im Master (Projektbezogen)</t>
  </si>
  <si>
    <t>Context Inquiry &amp; Problem Portfolio Mapping</t>
  </si>
  <si>
    <t>Methodentraining zur strukturierten Industrieanalyse und Identifikation von Innovations- und Automatisierungspotenzialen.</t>
  </si>
  <si>
    <t>Industrie, Projektteams</t>
  </si>
  <si>
    <t>Hab ich was rumliegen wäre gut, das als Methodology rauszulegen</t>
  </si>
  <si>
    <t>Methodology; das als Methodology rauszulegen</t>
  </si>
  <si>
    <t>Digitale Assistenzsysteme &amp; KI-Chatbots in der Produktion</t>
  </si>
  <si>
    <t>Workshop zur Konzeption, Bewertung und prototypischen Umsetzung KI-basierter Assistenzlösungen im Shopfloor.</t>
  </si>
  <si>
    <t>Technik "da" Wir haben halt die alten Sachen aus COALA, und jetzt Implementierung in REPAIR / AiHub upcoming, Methodenbaukasten kommt in DIQUA</t>
  </si>
  <si>
    <t>COALA; REPAIR; AiHub; DIQUA</t>
  </si>
  <si>
    <t>Remanufacturing-Strategie &amp; Portfolio-Workshops</t>
  </si>
  <si>
    <t>Managementnahes Modul zur Entwicklung von Reman-Konzepten und Geschäftsmodellen für produzierende Unternehmen.</t>
  </si>
  <si>
    <t>Industrie, Management</t>
  </si>
  <si>
    <t>Strategic</t>
  </si>
  <si>
    <t>Max?</t>
  </si>
  <si>
    <t>Maximilian</t>
  </si>
  <si>
    <t>Demontage-Workshop nach iFixit-Prinzip</t>
  </si>
  <si>
    <t>Hands-on-Workshop zur systematischen Analyse und Bewertung von Produkten im Hinblick auf Reparierbarkeit und Wiederverwendung.</t>
  </si>
  <si>
    <t>Haben Lorena + Jakob bei Bas Flipsen gemacht - kopieren oder Bas einladen</t>
  </si>
  <si>
    <t>Lorena; Jakob; Bas Flipsen</t>
  </si>
  <si>
    <t>VR-Trainings: Montage- und Schweißsimulation</t>
  </si>
  <si>
    <t>Praxisdemonstration virtueller Trainingsumgebungen für industrielle Qualifizierungsmaßnahmen.</t>
  </si>
  <si>
    <t>Veraltet (Update erforderlich)</t>
  </si>
  <si>
    <t>Relevanz-Schwerpunkt</t>
  </si>
  <si>
    <t>Relevant_Remanufacturing</t>
  </si>
  <si>
    <t>Relevant_Didaktik</t>
  </si>
  <si>
    <t>Relevant_Wirtschaftlichkeit</t>
  </si>
  <si>
    <t>Relevanz_Allgemein</t>
  </si>
  <si>
    <t>keine Relevanz für MA</t>
  </si>
  <si>
    <t>Schüler:innen</t>
  </si>
  <si>
    <t>Bachelor</t>
  </si>
  <si>
    <t>Master</t>
  </si>
  <si>
    <t>Promovierende</t>
  </si>
  <si>
    <t>AuszubildendeFachkräfte</t>
  </si>
  <si>
    <t>Führungskräfte</t>
  </si>
  <si>
    <t>Unternehmer:innen</t>
  </si>
  <si>
    <t>Freiberufler:innen</t>
  </si>
  <si>
    <t>Gewerkschaft</t>
  </si>
  <si>
    <t>Öffentlichkeit</t>
  </si>
  <si>
    <t>Fachbezogene Lerninhalte</t>
  </si>
  <si>
    <t>LeanManagement</t>
  </si>
  <si>
    <t>Energie-&amp;Ressourceneffizienz</t>
  </si>
  <si>
    <t>IndustrialEngineering</t>
  </si>
  <si>
    <t>GlobalProduction</t>
  </si>
  <si>
    <t>Industrie4.0</t>
  </si>
  <si>
    <t>Industrie5.0</t>
  </si>
  <si>
    <t>Produktentstehungsprozess</t>
  </si>
  <si>
    <t>Kreislaufwirtschaft</t>
  </si>
  <si>
    <t>Nachhaltigkeit</t>
  </si>
  <si>
    <t>BusinessEngineering</t>
  </si>
  <si>
    <t xml:space="preserve"> Künstliche Intelligenz </t>
  </si>
  <si>
    <t xml:space="preserve"> Objekterkennung </t>
  </si>
  <si>
    <t xml:space="preserve"> Ingenieurausbildung </t>
  </si>
  <si>
    <t xml:space="preserve"> Digital Twin </t>
  </si>
  <si>
    <t xml:space="preserve"> Fabrikplanung </t>
  </si>
  <si>
    <t xml:space="preserve"> Additive Fertigung</t>
  </si>
  <si>
    <t>Teilnehmerkonstellation</t>
  </si>
  <si>
    <t>homogen</t>
  </si>
  <si>
    <t>heterogen–Wissen</t>
  </si>
  <si>
    <t>heterogen–Hierarchie</t>
  </si>
  <si>
    <t>heterogen–gemischteZielgruppen</t>
  </si>
  <si>
    <t>Hauptzweck</t>
  </si>
  <si>
    <t>Hochschulbildung</t>
  </si>
  <si>
    <t>beruflicheAus-/Weiterbildung</t>
  </si>
  <si>
    <t>Forschung </t>
  </si>
  <si>
    <t>Weichensteller der Wandlungsfähigkeit</t>
  </si>
  <si>
    <t>Mobilität</t>
  </si>
  <si>
    <t>Modularität</t>
  </si>
  <si>
    <t>Kompatibilität</t>
  </si>
  <si>
    <t>Skalierbarkeit</t>
  </si>
  <si>
    <t>Universalität</t>
  </si>
  <si>
    <t>Kompetenzklasse</t>
  </si>
  <si>
    <t>fachlich-methodischeKompetenzen</t>
  </si>
  <si>
    <t>sozial-kommunikativeKompetenzen</t>
  </si>
  <si>
    <t>personaleKompetenzen</t>
  </si>
  <si>
    <t>aktivitätsorientierteKompetenzen</t>
  </si>
  <si>
    <t>Lernszenario</t>
  </si>
  <si>
    <t>Instruktion</t>
  </si>
  <si>
    <t>Demonstration</t>
  </si>
  <si>
    <t>geschlossenesSzenario</t>
  </si>
  <si>
    <t>offenesSzenario</t>
  </si>
  <si>
    <t>Autonomiegrad</t>
  </si>
  <si>
    <t>angeleitet(instructed)</t>
  </si>
  <si>
    <t>selbstgesteuert/selbstreguliert</t>
  </si>
  <si>
    <t>selbstbestimmt/selbstorganisiert</t>
  </si>
  <si>
    <t>Trainerrolle</t>
  </si>
  <si>
    <t>Präsentator:in</t>
  </si>
  <si>
    <t>Moderator:in</t>
  </si>
  <si>
    <t>Coach</t>
  </si>
  <si>
    <t>Instrukteur:in</t>
  </si>
  <si>
    <t>Lernaktivitätsart</t>
  </si>
  <si>
    <t>Tutorial</t>
  </si>
  <si>
    <t>praktischerLaborkurs</t>
  </si>
  <si>
    <t>Seminar</t>
  </si>
  <si>
    <t>Workshop</t>
  </si>
  <si>
    <t>Projektarbeit</t>
  </si>
  <si>
    <t>FlippedClassroom</t>
  </si>
  <si>
    <t>Business-Szenario(z.B.Produktlebenszyklus)</t>
  </si>
  <si>
    <t>Standardisierung_Trainer</t>
  </si>
  <si>
    <t>standardisierteLernmodule</t>
  </si>
  <si>
    <t>individualisierteLernmodule</t>
  </si>
  <si>
    <t>modulareLernmodule</t>
  </si>
  <si>
    <t>Evaluationsebenen</t>
  </si>
  <si>
    <t>Teilnehmerfeedback</t>
  </si>
  <si>
    <t>Kompetenzmessung</t>
  </si>
  <si>
    <t>TransferinrealeFabrik</t>
  </si>
  <si>
    <t>ökonomischeWirkungdesTrainings</t>
  </si>
  <si>
    <t>ReturnonTraining</t>
  </si>
  <si>
    <t>Evaluationsmethoden</t>
  </si>
  <si>
    <t>Wissenstest–schriftlich</t>
  </si>
  <si>
    <t>Wissenstest–mündlich</t>
  </si>
  <si>
    <t>schriftlicherBericht</t>
  </si>
  <si>
    <t>mündlichePräsentation</t>
  </si>
  <si>
    <t>praktischePrüfung</t>
  </si>
  <si>
    <t>360-Grad-Assessment</t>
  </si>
  <si>
    <t>keine</t>
  </si>
  <si>
    <t>Personalisierungsgrad</t>
  </si>
  <si>
    <t>Teilnehmerpersonalisierung</t>
  </si>
  <si>
    <t>Gruppenpersonalisierung</t>
  </si>
  <si>
    <t>Abgebildete Produktlebenszyklusphase</t>
  </si>
  <si>
    <t>Produktplanung</t>
  </si>
  <si>
    <t>Produktentwicklung</t>
  </si>
  <si>
    <t>Produktdesign</t>
  </si>
  <si>
    <t>RapidPrototyping</t>
  </si>
  <si>
    <t>Fertigung</t>
  </si>
  <si>
    <t>Montage</t>
  </si>
  <si>
    <t>Logistik</t>
  </si>
  <si>
    <t>Service</t>
  </si>
  <si>
    <t>Recycling/Remanufacturing</t>
  </si>
  <si>
    <t>Prozesstyp</t>
  </si>
  <si>
    <t>Massenproduktion</t>
  </si>
  <si>
    <t>Serienproduktion</t>
  </si>
  <si>
    <t>Kleinserienproduktion</t>
  </si>
  <si>
    <t>Einzelfertigung</t>
  </si>
  <si>
    <t>Prozessautomatisierung</t>
  </si>
  <si>
    <t>Baustellenfertigung</t>
  </si>
  <si>
    <t>Werkbankfertigung</t>
  </si>
  <si>
    <t>Werkstattfertigung</t>
  </si>
  <si>
    <t>Fließfertigung</t>
  </si>
  <si>
    <t>wandelbareFertigungsprinzipien</t>
  </si>
  <si>
    <t xml:space="preserve"> Lernumgebung</t>
  </si>
  <si>
    <t>reinphysisch(Planung+Ausführung)</t>
  </si>
  <si>
    <t>physischeLF,digitalunterstützt(Linie'IT-Integration')</t>
  </si>
  <si>
    <t>physischerWertstromvirtuellerweitert</t>
  </si>
  <si>
    <t>reinvirtuell(Planung+Ausführung)</t>
  </si>
  <si>
    <t>Integrierte digitale Technologien</t>
  </si>
  <si>
    <t>Datenerfassung</t>
  </si>
  <si>
    <t>Rückverfolgbarkeit</t>
  </si>
  <si>
    <t>Datenverarbeitung(z.B.KI)</t>
  </si>
  <si>
    <t>Assistenzsysteme</t>
  </si>
  <si>
    <t>digitaleFertigung</t>
  </si>
  <si>
    <t>Simulation</t>
  </si>
  <si>
    <t>Datenmanagement&amp;Visualisierung</t>
  </si>
  <si>
    <t>Automatisierungstechnik</t>
  </si>
  <si>
    <t>Cybersecurity</t>
  </si>
  <si>
    <t>Netzwerktechnologien</t>
  </si>
  <si>
    <t>Materialität</t>
  </si>
  <si>
    <t>materiell(physischesProdukt)</t>
  </si>
  <si>
    <t>immateriell(Dienstleistung)</t>
  </si>
  <si>
    <t>digital(Daten,Software)</t>
  </si>
  <si>
    <t>Variantenanzahl</t>
  </si>
  <si>
    <t>1Variante</t>
  </si>
  <si>
    <t>2-4Varianten</t>
  </si>
  <si>
    <t>5-20Varianten</t>
  </si>
  <si>
    <t>&gt;20Varianten</t>
  </si>
  <si>
    <t>flexibel,jenachTeilnehmenden</t>
  </si>
  <si>
    <t>durchrealeAufträgebestimmt</t>
  </si>
  <si>
    <t>konfigurierbar</t>
  </si>
  <si>
    <t>Weitere Produktverwendung</t>
  </si>
  <si>
    <t>Wiederverwendung/Recycling</t>
  </si>
  <si>
    <t>Ausstellung/Display</t>
  </si>
  <si>
    <t>Give-away</t>
  </si>
  <si>
    <t>Verkauf</t>
  </si>
  <si>
    <t>Entsorgung</t>
  </si>
  <si>
    <t>Betreiber</t>
  </si>
  <si>
    <t xml:space="preserve">akademische Einrichtung  </t>
  </si>
  <si>
    <t xml:space="preserve">  nicht-akademische Einrichtung  </t>
  </si>
  <si>
    <t xml:space="preserve">  gewinnorientierter Betreiber </t>
  </si>
  <si>
    <t xml:space="preserve">  Non-Profit-Organisation</t>
  </si>
  <si>
    <t>Anschubfinanzierung</t>
  </si>
  <si>
    <t xml:space="preserve">interne Mittel </t>
  </si>
  <si>
    <t xml:space="preserve"> externe Mittel – öffentliche Mittel </t>
  </si>
  <si>
    <t xml:space="preserve"> externe Mittel – Unternehmensmittel </t>
  </si>
  <si>
    <t xml:space="preserve"> externe Mittel – Mittel von Verbänden</t>
  </si>
  <si>
    <t>Laufende Finanzierung</t>
  </si>
  <si>
    <t xml:space="preserve"> externe Mittel – Industriemittel </t>
  </si>
  <si>
    <t xml:space="preserve"> externe Mittel – Mittel von Verbänden </t>
  </si>
  <si>
    <t xml:space="preserve"> Mittel aus Produktverkauf</t>
  </si>
  <si>
    <t>Trainingsmodelle</t>
  </si>
  <si>
    <t xml:space="preserve">offene Modelle – Club-Modell </t>
  </si>
  <si>
    <t xml:space="preserve"> offene Modelle – Kursgebühren </t>
  </si>
  <si>
    <t xml:space="preserve"> geschlossene Modelle</t>
  </si>
  <si>
    <t>Schlüsselpartnerschaften</t>
  </si>
  <si>
    <t xml:space="preserve">Hochschulen </t>
  </si>
  <si>
    <t xml:space="preserve"> Hersteller </t>
  </si>
  <si>
    <t xml:space="preserve"> Beratungen </t>
  </si>
  <si>
    <t xml:space="preserve"> Industrie </t>
  </si>
  <si>
    <t xml:space="preserve"> Inkubatoren </t>
  </si>
  <si>
    <t xml:space="preserve"> Dienstleistungsorganisationen </t>
  </si>
  <si>
    <t xml:space="preserve"> NGO</t>
  </si>
  <si>
    <t>Teilnehmende pro Lernmodul</t>
  </si>
  <si>
    <t>1-5</t>
  </si>
  <si>
    <t xml:space="preserve"> 6-10 </t>
  </si>
  <si>
    <t xml:space="preserve"> 10-15 </t>
  </si>
  <si>
    <t xml:space="preserve"> 16-20 </t>
  </si>
  <si>
    <t xml:space="preserve"> &gt;20</t>
  </si>
  <si>
    <t>Anzahl standardisierter Lernmodule</t>
  </si>
  <si>
    <t xml:space="preserve"> 2-4 </t>
  </si>
  <si>
    <t xml:space="preserve"> 5-10 </t>
  </si>
  <si>
    <t xml:space="preserve"> &gt;10 </t>
  </si>
  <si>
    <t xml:space="preserve"> modularisiert</t>
  </si>
  <si>
    <t>Anzahl integrierter Lernmodule</t>
  </si>
  <si>
    <t xml:space="preserve">Undergraduate: 1 </t>
  </si>
  <si>
    <t xml:space="preserve"> Undergraduate: 2-4 </t>
  </si>
  <si>
    <t xml:space="preserve"> Undergraduate: 5-10 </t>
  </si>
  <si>
    <t xml:space="preserve"> Undergraduate: &gt;10 </t>
  </si>
  <si>
    <t xml:space="preserve"> Undergraduate: modularisiert </t>
  </si>
  <si>
    <t xml:space="preserve"> Graduate: 1 </t>
  </si>
  <si>
    <t xml:space="preserve"> Graduate: 2-4 </t>
  </si>
  <si>
    <t xml:space="preserve"> Graduate: 5-10 </t>
  </si>
  <si>
    <t xml:space="preserve"> Graduate: &gt;10 </t>
  </si>
  <si>
    <t xml:space="preserve"> Graduate: modularisiert</t>
  </si>
  <si>
    <t>Durchschnittsdauer Lernmodul</t>
  </si>
  <si>
    <t xml:space="preserve">≤ 0,5 Tag </t>
  </si>
  <si>
    <t xml:space="preserve"> 0,5 – 1 Tag </t>
  </si>
  <si>
    <t xml:space="preserve"> 1 – 2 Tage </t>
  </si>
  <si>
    <t xml:space="preserve"> 2 – 5 Tage </t>
  </si>
  <si>
    <t xml:space="preserve"> 5 – 10 Tage </t>
  </si>
  <si>
    <t xml:space="preserve"> 10 – 20 Tage </t>
  </si>
  <si>
    <t xml:space="preserve"> &gt; 20 Tage</t>
  </si>
  <si>
    <t xml:space="preserve">Einrichtungskosten </t>
  </si>
  <si>
    <t xml:space="preserve">&lt; 10.000 € </t>
  </si>
  <si>
    <t xml:space="preserve"> 10.000 – 100.000 € </t>
  </si>
  <si>
    <t xml:space="preserve"> 100.000 € – 1 Mio. € </t>
  </si>
  <si>
    <t xml:space="preserve"> &gt; 1 Mio. </t>
  </si>
  <si>
    <t>Betriebskosten</t>
  </si>
  <si>
    <t>Spalte1</t>
  </si>
  <si>
    <t>1. Erinnern</t>
  </si>
  <si>
    <t>2. Verstehen</t>
  </si>
  <si>
    <t>3. Anwenden</t>
  </si>
  <si>
    <t>4. Analysieren</t>
  </si>
  <si>
    <t>5. Bewerten</t>
  </si>
  <si>
    <t>6. Erschaffen</t>
  </si>
  <si>
    <t>Revidierte Bloom-Taxonomie (Anderson &amp; Krathwohl 2001) – Taxonomietabelle</t>
  </si>
  <si>
    <t>Zweidimensionales Raster: Wissensdimension (Zeilen) × kognitive Prozessdimension (Stufen, Spalten). Jede Zelle nennt ein typisches handlungsorientiertes Verb zur Lernzielformulierung. Verfeinert Morphologie-Element 6.2 (kognitive Lernzieldimension) und dient als Formulierungshilfe für Feinlernziele im Modulsteckbrief.</t>
  </si>
  <si>
    <t>Wissensdimension \ Prozessstufe</t>
  </si>
  <si>
    <t>Kognitive Prozessstufen (Definition)</t>
  </si>
  <si>
    <t>A. Faktenwissen
(Terminologie, Details)</t>
  </si>
  <si>
    <t>auflisten</t>
  </si>
  <si>
    <t>zusammenfassen</t>
  </si>
  <si>
    <t>klassifizieren</t>
  </si>
  <si>
    <t>ordnen</t>
  </si>
  <si>
    <t>bewerten/rangieren</t>
  </si>
  <si>
    <t>kombinieren</t>
  </si>
  <si>
    <t>Relevantes Wissen aus dem Langzeitgedächtnis abrufen (Wiedererkennen, Abrufen).</t>
  </si>
  <si>
    <t>B. Konzeptuelles Wissen
(Zusammenhänge, Prinzipien, Modelle)</t>
  </si>
  <si>
    <t>beschreiben</t>
  </si>
  <si>
    <t>interpretieren</t>
  </si>
  <si>
    <t>experimentieren</t>
  </si>
  <si>
    <t>erklären/unterscheiden</t>
  </si>
  <si>
    <t>beurteilen</t>
  </si>
  <si>
    <t>planen</t>
  </si>
  <si>
    <t>Bedeutung erschließen: interpretieren, exemplifizieren, klassifizieren, zusammenfassen, schlussfolgern, vergleichen, erklären.</t>
  </si>
  <si>
    <t>C. Prozedurales Wissen
(Methoden, Techniken, Kriterien)</t>
  </si>
  <si>
    <t>tabellieren</t>
  </si>
  <si>
    <t>vorhersagen</t>
  </si>
  <si>
    <t>berechnen/durchführen</t>
  </si>
  <si>
    <t>differenzieren</t>
  </si>
  <si>
    <t>schlussfolgern</t>
  </si>
  <si>
    <t>konstruieren</t>
  </si>
  <si>
    <t>Verfahren in einer gegebenen Situation ausführen oder umsetzen.</t>
  </si>
  <si>
    <t>D. Metakognitives Wissen
(Strategie-, Selbstwissen)</t>
  </si>
  <si>
    <t>angemessen nutzen</t>
  </si>
  <si>
    <t>ausführen</t>
  </si>
  <si>
    <t>umsetzen</t>
  </si>
  <si>
    <t>erreichen</t>
  </si>
  <si>
    <t>reflektieren/handeln</t>
  </si>
  <si>
    <t>aktualisieren/neu gestalten</t>
  </si>
  <si>
    <t>Material in Bestandteile zerlegen und Beziehungen erkennen: differenzieren, organisieren, zuordnen.</t>
  </si>
  <si>
    <t>Urteile anhand von Kriterien und Standards fällen: prüfen, kritisieren.</t>
  </si>
  <si>
    <t>Elemente zu einem neuen, kohärenten Ganzen zusammenfügen: generieren, planen, produzieren.</t>
  </si>
  <si>
    <t>Quelle: Anderson, L. W. &amp; Krathwohl, D. R. (Hrsg., 2001); Krathwohl, D. R. (2002): A Revision of Bloom's Taxonomy – An Overview. Theory Into Practice 41(4). Verben exemplarisch (u. a. nach Oregon State University).</t>
  </si>
  <si>
    <t>Brücke: Abele Dimension 6 (Didaktik) &lt;--&gt; Kompetenzmodell Erpenbeck</t>
  </si>
  <si>
    <t>Abeles Kompetenzklassen (Element 6.1) entsprechen direkt den vier Basiskompetenzen nach Roth (1971), Erpenbeck &amp; Heyse (2007). Konzeptionelle Verknüpfung für die didaktische Begründung des Frameworks.</t>
  </si>
  <si>
    <t>Kürzel</t>
  </si>
  <si>
    <t>Abele (Dim. 6.1)</t>
  </si>
  <si>
    <t>Erpenbeck-Basiskompetenz</t>
  </si>
  <si>
    <t>Definition nach Erpenbeck &amp; Heyse (2007)</t>
  </si>
  <si>
    <t>F</t>
  </si>
  <si>
    <t>fachlich-methodische Kompetenzen</t>
  </si>
  <si>
    <t>F - Fachlich-methodische Kompetenzen</t>
  </si>
  <si>
    <t>Dispositionen, sachlich-gegenständliche Probleme geistig und physisch selbstorganisiert zu lösen – mit fachlichen/instrumentellen Kenntnissen kreativ Probleme lösen, Wissen sinnorientiert einordnen, Methoden selbst weiterentwickeln.</t>
  </si>
  <si>
    <t>S</t>
  </si>
  <si>
    <t>sozial-kommunikative Kompetenzen</t>
  </si>
  <si>
    <t>S _ Sozial-kommunikative Kompetenzen</t>
  </si>
  <si>
    <t>Dispositionen, kommunikativ und kooperativ selbstorganisiert zu handeln – sich mit anderen kreativ auseinander- und zusammenzusetzen, gruppen- und beziehungsorientiert zu handeln, neue Ziele zu entwickeln.</t>
  </si>
  <si>
    <t>P</t>
  </si>
  <si>
    <t>personale Kompetenzen</t>
  </si>
  <si>
    <t>P _ Personale Kompetenzen</t>
  </si>
  <si>
    <t>Dispositionen, reflexiv selbstorganisiert zu handeln – sich selbst einzuschätzen, produktive Einstellungen, Werthaltungen, Motive und Selbstbilder zu entwickeln und sich kreativ weiterzuentwickeln.</t>
  </si>
  <si>
    <t>A</t>
  </si>
  <si>
    <t>aktivitätsorientierte Kompetenzen</t>
  </si>
  <si>
    <t>A _ Aktivitäts- und umsetzungsorientierte Kompetenzen</t>
  </si>
  <si>
    <t>Dispositionen, aktiv und ganzheitlich selbstorganisiert zu handeln und auf die Umsetzung von Absichten/Plänen zu richten – integriert alle anderen Kompetenzen (P, F, S) in die eigenen Willensantriebe.</t>
  </si>
  <si>
    <t>Hinweis: Erpenbeck fasst Kompetenzen als Selbstorganisationsdispositionen (Abgrenzung zur Qualifikation). Offene Lernszenarien (6.3), hohe Lernautonomie (6.6) und Coaching-Rollen (6.7) fördern damit gezielt den Kompetenzaufbau – im Remanufacturing-Kontext der Umgang mit variablen, unsicheren Ausgangszuständen. Quelle: Erpenbeck &amp; von Rosenstiel (Hrsg., 2007); Erpenbeck &amp; Heyse (2007).</t>
  </si>
  <si>
    <t>Kreuzmatrix: Bloom-Prozessstufen × Erpenbeck-Kompetenzklassen</t>
  </si>
  <si>
    <t>Konzeptionelle Verzahnung beider Modelle: Bloom beschreibt die kognitive Tiefe eines Lernziels (vertikal), Erpenbeck die adressierte Kompetenzart (horizontal, F/S/P/A). Die Zellen zeigen, welche Kompetenzklasse eine kognitive Stufe typischerweise primär bedient – Grundlage für die Progression der Lernpfade im Remanufacturing.</t>
  </si>
  <si>
    <t>Legende:  X = primär adressiert   |   (x) = sekundär adressiert   |   leer = kaum Bezug</t>
  </si>
  <si>
    <t>Bloom-Prozessstufe</t>
  </si>
  <si>
    <t>F
fachl.-method.</t>
  </si>
  <si>
    <t>S
sozial-komm.</t>
  </si>
  <si>
    <t>P
personal</t>
  </si>
  <si>
    <t>A
aktivitätsorient.</t>
  </si>
  <si>
    <t>X</t>
  </si>
  <si>
    <t>(x)</t>
  </si>
  <si>
    <t>Beispiel Remanufacturing: Eine begründete Reman-Entscheidung treffen verbindet die kognitive Stufe '5. Bewerten' mit personaler (P) und aktivitätsorientierter (A) Kompetenz; die anschließende zerstörungsfreie Demontage adressiert '3. Anwenden' (prozedurales Wissen) und ebenfalls A. Die Zuordnung ist als didaktische Orientierung zu verstehen, nicht als starre Festlegung.</t>
  </si>
  <si>
    <t>Learning-Factory-Morphologie nach Abele et al. (2024)</t>
  </si>
  <si>
    <t>Legende Relevanz:    hoch = Kern des Frameworks   |   mittel = Gestaltungskontext   |   Kontext = nachrangig / vorgegeben</t>
  </si>
  <si>
    <t>Nr.</t>
  </si>
  <si>
    <t>Dimension</t>
  </si>
  <si>
    <t>Inhaltlicher Fokus</t>
  </si>
  <si>
    <t>Blatt</t>
  </si>
  <si>
    <t>Dimension 1 – Betriebs- und Geschäftsmodell</t>
  </si>
  <si>
    <t>Betreiber, Finanzierung, Trägerschaft und Geschäftsmodelle der Lernfabrik.</t>
  </si>
  <si>
    <t>D1 Geschäftsmodell</t>
  </si>
  <si>
    <t>Dimension 2 – Ziele und Zweck</t>
  </si>
  <si>
    <t>Haupt- und Nebenzwecke, Zielgruppen, Branchen sowie inhaltliche Lernschwerpunkte.</t>
  </si>
  <si>
    <t>D2 Ziele &amp; Zweck</t>
  </si>
  <si>
    <t>Dimension 3 – Prozess</t>
  </si>
  <si>
    <t>Abgebildete Produktionsprozesse, Lebenszyklen, Automatisierungsgrad und Fertigungsverfahren.</t>
  </si>
  <si>
    <t>D3 Prozess</t>
  </si>
  <si>
    <t>Dimension 4 – Setting</t>
  </si>
  <si>
    <t>Eigenschaften der Lernumgebung: physisch/virtuell, Skalierung, Wandlungsfähigkeit, IT &amp; Assistenzsysteme.</t>
  </si>
  <si>
    <t>D4 Setting</t>
  </si>
  <si>
    <t>Dimension 5 – Produkt</t>
  </si>
  <si>
    <t>Eigenschaften der im Lernszenario gefertigten Produkte: Materialität, Herkunft, Komplexität, Varianten.</t>
  </si>
  <si>
    <t>D5 Produkt</t>
  </si>
  <si>
    <t>Dimension 6 – Didaktik / Pädagogik</t>
  </si>
  <si>
    <t>Kompetenzklassen, Lernziele, Lehr-/Lernstrategien, Trainerrolle, Evaluation und Personalisierung.</t>
  </si>
  <si>
    <t>D6 Didaktik</t>
  </si>
  <si>
    <t>Dimension 7 – Kennzahlen (Metrics)</t>
  </si>
  <si>
    <t>Quantitative Kenngrößen: Teilnehmerzahl, Moduldauer, Fläche, Personal, Kosten und Publikationen.</t>
  </si>
  <si>
    <t>D7 Kennzahlen</t>
  </si>
  <si>
    <t>Dimension 8 – Forschung</t>
  </si>
  <si>
    <t>Forschungsthemen, Forschungsgegenstand, beteiligte Personen und Rolle der LF in der Forschung.</t>
  </si>
  <si>
    <t>D8 Forschung</t>
  </si>
  <si>
    <t>Quelle: Abele, E., Metternich, J., Tisch, M., &amp; Kreß, A. (2024). The Variety of Learning Factory Concepts. In: Learning Factories (2. Aufl., S. 97–127). Springer, Cham. DOI 10.1007/978-3-031-46428-7. – Kompetenzbezug: Erpenbeck &amp; Heyse (2007); Erpenbeck &amp; von Rosenstiel (Hrsg., 2007), Handbuch Kompetenzmessung.</t>
  </si>
  <si>
    <t>D1: Betriebs- und Geschäftsmodell</t>
  </si>
  <si>
    <t>Betreiber  |  Finanzierung  |  Trägerschaft  |  Geschäftsmodell der Lernfabrik</t>
  </si>
  <si>
    <t>Gestaltungselement</t>
  </si>
  <si>
    <t>Ausprägungen</t>
  </si>
  <si>
    <t>Relevanz Begründung</t>
  </si>
  <si>
    <t>1.1</t>
  </si>
  <si>
    <t>akademische Einrichtung  |  nicht-akademische Einrichtung  |  gewinnorientierter Betreiber |  Non-Profit-Organisation</t>
  </si>
  <si>
    <t>Betreiber: RePAIR-Labor / Hochschule Aalen, Graduate Campus und Industriepartner</t>
  </si>
  <si>
    <t>1.2</t>
  </si>
  <si>
    <t>Trainer</t>
  </si>
  <si>
    <t>Professor | Forschende:r | studentische Hilfskraft | technische:r Experte:in | Manager:in | Berater:in | Pädagog:in | externe:r Trainer:in</t>
  </si>
  <si>
    <t>Lehrpersonenunabhängigkeit, aber Trainerrolle: Professoren, wisenschaftliche Mitarbeitende, externe Experten</t>
  </si>
  <si>
    <t>1.3</t>
  </si>
  <si>
    <t>Konzeptentwicklung</t>
  </si>
  <si>
    <t>intern | extern unterstützt | extern</t>
  </si>
  <si>
    <t>Interdisziplinäre Verankerung erfolgt über Interviewpartner (Lorena, Jakob, Prof. Schwarzer, Prof. Eber, Prof. Ludwig, Prof. Feldmann)</t>
  </si>
  <si>
    <t>1.4</t>
  </si>
  <si>
    <t>interne Mittel | externe Mittel – öffentliche Mittel | externe Mittel – Unternehmensmittel | externe Mittel – Mittel von Verbänden</t>
  </si>
  <si>
    <t>wirtschaftliche Rentabilität</t>
  </si>
  <si>
    <t>1.5</t>
  </si>
  <si>
    <t>interne Mittel | externe Mittel – öffentliche Mittel | externe Mittel – Industriemittel | externe Mittel – Mittel von Verbänden | Mittel aus Produktverkauf</t>
  </si>
  <si>
    <t>1.6</t>
  </si>
  <si>
    <t>Finanzierungskontinuität</t>
  </si>
  <si>
    <t>kurzfristig (z. B. Einzelveranstaltungen) | mittelfristig (Projekte/Programme &lt; 3 Jahre) | langfristig (Projekte/Programme ≥ 3 Jahre)</t>
  </si>
  <si>
    <t>Sie bestimmen die Nachhaltigkeit des Frameworks über die Arbeit hinaus.</t>
  </si>
  <si>
    <t>1.7</t>
  </si>
  <si>
    <t>Geschäftsmodell Training</t>
  </si>
  <si>
    <t>offene Modelle – Club-Modell | offene Modelle – Kursgebühren | geschlossene Modelle</t>
  </si>
  <si>
    <t>1.8</t>
  </si>
  <si>
    <t>Hochschulen | Hersteller | Beratungen | Industrie | Inkubatoren | Dienstleistungsorganisationen | NGO</t>
  </si>
  <si>
    <t xml:space="preserve">Verbindung zwischen Hochschule und Partner
</t>
  </si>
  <si>
    <t>1.9</t>
  </si>
  <si>
    <t>Geschäftsmodell Forschung</t>
  </si>
  <si>
    <t>Quelle: Abele et al. (2024), Kap. 5.2, Abb. 5.7 (nach Tisch et al. 2015b; Tisch 2018; Kreß et al. 2023).</t>
  </si>
  <si>
    <t>Haupt- und Nebenzwecke  |  Zielgruppen  |  Branchen  |  Inhaltliche Lernschwerpunkte</t>
  </si>
  <si>
    <t>2.1</t>
  </si>
  <si>
    <t>Hochschulbildung | berufliche Aus-/Weiterbildung | Forschung </t>
  </si>
  <si>
    <t>Bildung und berufliche Weiterbildung</t>
  </si>
  <si>
    <t>2.2</t>
  </si>
  <si>
    <t>Nebenzweck</t>
  </si>
  <si>
    <t>Test-/Pilotumgebung | industrielle Produktion | Innovationstransfer | öffentliches Image | Innovation | Demonstration</t>
  </si>
  <si>
    <t>Innovationstransfer zwischen Hochschule und Industrie sowie Demonstration sind relevant, jedoch nachgeordnet.</t>
  </si>
  <si>
    <t>2.3</t>
  </si>
  <si>
    <t>Zielgruppen für               Aus-/Weiterbildung</t>
  </si>
  <si>
    <t xml:space="preserve">Schüler:innen | Bachelor | Master | Promovierende | Auszubildende  Fachkräfte | Führungskräfte | Unternehmer:innen | Freiberufler:innen | Gewerkschaft | Öffentlichkeit </t>
  </si>
  <si>
    <t>Schüler:innen, Studierende, Graduate Campus, Berufsschulen, Fachkräfte, Führungskräfte</t>
  </si>
  <si>
    <t>2.4</t>
  </si>
  <si>
    <t>homogen | heterogen – Wissen | heterogen – Hierarchie | heterogen – gemischte Zielgruppen</t>
  </si>
  <si>
    <t>Kompetenzpfade &amp; Schwierigkeitsgrade</t>
  </si>
  <si>
    <t>2.5</t>
  </si>
  <si>
    <t>Zielbranche</t>
  </si>
  <si>
    <t>Maschinen- &amp; Anlagenbau | Automobil | Luft- &amp; Raumfahrt  | New Economy</t>
  </si>
  <si>
    <t xml:space="preserve">Regionale Industriepartner --&gt; branchenbezogen; Framework --&gt; technologieoffen
</t>
  </si>
  <si>
    <t>2.6</t>
  </si>
  <si>
    <t>Lean Management | Energie- &amp; Ressourceneffizienz | Industrial Engineering | Global Production | Industrie 4.0 | Industrie 5.0 | Produktentstehungsprozess | Kreislaufwirtschaft | Nachhaltigkeit | Business Engineering | Künstliche Intelligenz | Objekterkennung | Ingenieurausbildung | Digital Twin | Fabrikplanung | Additive Fertigung</t>
  </si>
  <si>
    <t>Future Skills!!!; Lean Management | Energie- &amp; Ressourceneffizienz | Industrial Engineering | Global Production | Industrie 4.0 | Industrie 5.0 | Produktentstehungsprozess | Kreislaufwirtschaft | Nachhaltigkeit | Business Engineering | Künstliche Intelligenz | Objekterkennung | Ingenieurausbildung | Digital Twin | Fabrikplanung | Additive Fertigung</t>
  </si>
  <si>
    <t>2.7</t>
  </si>
  <si>
    <t>Rolle der LF in der Forschung</t>
  </si>
  <si>
    <t>Forschungsobjekt (z. B. Forschung zur LF-Verbesserung) | Forschungsenabler (z. B. Entwicklung neuer Methoden in 2.6)</t>
  </si>
  <si>
    <t>Forschungsrolle nachrangig; LF dient hier primär als Lernsetting.</t>
  </si>
  <si>
    <t>Abgebildete Produktionsprozesse  |  Lebenszyklen  |  Automatisierungsgrad  |  Fertigungsverfahren</t>
  </si>
  <si>
    <t>3.1</t>
  </si>
  <si>
    <t>Abgebildete Produktlebens-zyklusphase</t>
  </si>
  <si>
    <t>Produktplanung | Produktentwicklung | Produktdesign | Rapid Prototyping | Fertigung | Montage | Logistik | Service | Recycling/Remanufacturing</t>
  </si>
  <si>
    <t xml:space="preserve">Remanufacturing im Vorfeld miteinbeziehen
(PEP)
</t>
  </si>
  <si>
    <t>3.2</t>
  </si>
  <si>
    <t>Fabriklebenszyklus</t>
  </si>
  <si>
    <t>Investitionsplanung | Fabrikkonzept | Prozessplanung | Hochlauf (Ramp-up) | Fertigung | Montage | Logistik | Instandhaltung | Recycling/Remanufacturing</t>
  </si>
  <si>
    <t>Remanufacturing im Vorfeld miteinbeziehen</t>
  </si>
  <si>
    <t>3.3</t>
  </si>
  <si>
    <t>Auftragslebenszyklus</t>
  </si>
  <si>
    <t>Konfiguration &amp; Auftrag | Auftragsreihenfolge | Produktionsplanung &amp; -steuerung | Fertigung | Montage | Logistik | Kommissionierung/Verpackung | Versand</t>
  </si>
  <si>
    <t>3.4</t>
  </si>
  <si>
    <t>Technologielebenszyklus</t>
  </si>
  <si>
    <t>Planung | Entwicklung | virtuelle Erprobung | Fertigung | Montage | Logistik | Instandhaltung | Modernisierung/Modifikation</t>
  </si>
  <si>
    <t>Remanufacturing im Vorfeld miteinbeziehen (PEP)</t>
  </si>
  <si>
    <t>3.5</t>
  </si>
  <si>
    <t>Indirekte Funktionen</t>
  </si>
  <si>
    <t>Primäraktivitäten – Ein-/Ausgangslogistik | Primäraktivitäten – Marketing &amp; Vertrieb | Primäraktivitäten – Service | Sekundäraktivitäten – Unternehmensinfrastruktur | Sekundäraktivitäten – Personalwesen | Sekundäraktivitäten – Technologieentwicklung | Sekundäraktivitäten – Beschaffung</t>
  </si>
  <si>
    <t xml:space="preserve">Remanufacturing im Vorfeld miteinbeziehen (Entwicklung)
</t>
  </si>
  <si>
    <t>3.6</t>
  </si>
  <si>
    <t>Materialfluss</t>
  </si>
  <si>
    <t>kontinuierliche Produktion | diskrete Produktion</t>
  </si>
  <si>
    <t>Diskrete Produktion entspricht der stückbezogenen Wiederaufbereitung im Remanufacturing.</t>
  </si>
  <si>
    <t>3.7</t>
  </si>
  <si>
    <t>Massenproduktion | Serienproduktion | Kleinserienproduktion | Einzelfertigung</t>
  </si>
  <si>
    <t>Für Framework nicht von großer Relevanz; Klein- und Einzelfertigung und sind charakteristisch für Remanufacturing.</t>
  </si>
  <si>
    <t>3.8</t>
  </si>
  <si>
    <t>Fertigungsorganisation</t>
  </si>
  <si>
    <t>Baustellenfertigung | Werkbankfertigung | Werkstattfertigung | Fließfertigung | wandelbare Fertigungsprinzipien</t>
  </si>
  <si>
    <t xml:space="preserve">Für Framework nicht von großer Relevanz; Werkstatt- bzw. Werkbankfertigung eignet sich für hands-on-orientierte Demontagearbeitsplätze.
</t>
  </si>
  <si>
    <t>3.9</t>
  </si>
  <si>
    <t>manuell | teilautomatisiert/hybrid | vollautomatisiert</t>
  </si>
  <si>
    <t>Haptisches Lernen wird mit der Integration von Robotik und KI kombiniert; der Automatisierungsgrad ist eine Designentscheidung.</t>
  </si>
  <si>
    <t>3.10</t>
  </si>
  <si>
    <t>Fertigungsverfahren</t>
  </si>
  <si>
    <t>Trennen | Urformen | Umformen | Fügen | Beschichten | Stoffeigenschaft ändern | Additive Fertigung</t>
  </si>
  <si>
    <t>Demontage und Fügen sind relevant, jedoch sind nicht alle Verfahren remanufacturing-typisch. Für Framework nicht von großer Relevanz</t>
  </si>
  <si>
    <t>3.11</t>
  </si>
  <si>
    <t>Fertigungstechnologie</t>
  </si>
  <si>
    <t>physikalisch | chemisch | biologisch</t>
  </si>
  <si>
    <t>Der konkrete Technologietyp ist für die didaktische Struktur nachrangig.</t>
  </si>
  <si>
    <t>3.12</t>
  </si>
  <si>
    <t>Anzahl Fabrikbereiche</t>
  </si>
  <si>
    <t>&lt;3 | 3-5 | 6-9 | 10-15 | 15-20 | &gt;20</t>
  </si>
  <si>
    <t>Skalierungsaspekte dienen als Kennzahl, sind jedoch nicht bestimmend für das Framework.</t>
  </si>
  <si>
    <t>3.14</t>
  </si>
  <si>
    <t>Intralogistik-Automatisierung</t>
  </si>
  <si>
    <t>manuell | halbautomatisch | automatisch – ohne Robotik | automatisch – mit Robotik</t>
  </si>
  <si>
    <t>Robotik-Integration als Lerninhalt relevant.</t>
  </si>
  <si>
    <t xml:space="preserve">Quelle: Abele et al. (2024), Kap. 5.3, Abb. 5.9 (nach Tisch et al. 2015b; Tisch 2018; Kreß et al. 2023). </t>
  </si>
  <si>
    <t>Eigenschaften der Lernumgebung:   physisch / virtuell  |  Skalierung  |  Wandlungsfähigkeit  |  IT &amp; Assistenzsysteme</t>
  </si>
  <si>
    <t>4.1</t>
  </si>
  <si>
    <t>Lernumgebung</t>
  </si>
  <si>
    <t>rein physisch (Planung + Ausführung) | physische LF, digital unterstützt (Linie 'IT-Integration') | physischer Wertstrom virtuell erweitert | rein virtuell (Planung + Ausführung)</t>
  </si>
  <si>
    <t>Physisch-haptisches Real-Szenario ist der explizite USP gegenüber rein digitalen Formaten.</t>
  </si>
  <si>
    <t>4.2</t>
  </si>
  <si>
    <t>Skalierung der Umgebung</t>
  </si>
  <si>
    <t>verkleinert (scaled down) | Originalgröße (life-size)</t>
  </si>
  <si>
    <t>Skalierung beeinflusst Frameworkerstellung nicht</t>
  </si>
  <si>
    <t>4.3</t>
  </si>
  <si>
    <t>Arbeitssystemebenen</t>
  </si>
  <si>
    <t>Arbeitsplatz | Arbeitssystem | Fabrik | Netzwerk</t>
  </si>
  <si>
    <t>Modulare Arbeitsplätze sind Bausteine des Schrank-Prinzips.</t>
  </si>
  <si>
    <t>4.4</t>
  </si>
  <si>
    <t>Mobilität | Modularität | Kompatibilität | Skalierbarkeit | Universalität</t>
  </si>
  <si>
    <t>Modularität &amp; Skalierbarkeit --&gt; Schrank-Prinzip; Wiederverwendbarkeit der Module</t>
  </si>
  <si>
    <t>4.5</t>
  </si>
  <si>
    <t>Wandlungsdimensionen</t>
  </si>
  <si>
    <t>Produkt | Prozess | Organisation | Gebäude &amp; Layout | Materialfluss</t>
  </si>
  <si>
    <t>Produkt- und Prozesswandel ermöglichen die Abbildung variabler Remanufacturing-Szenarien.</t>
  </si>
  <si>
    <t>4.6</t>
  </si>
  <si>
    <t>IT-Integration</t>
  </si>
  <si>
    <t>IT vor SOP (CAD, CAM, Simulation) | IT nach SOP (PPS, ERP, MES) | IT nach Produktion (CRM, PLM etc.)</t>
  </si>
  <si>
    <t>IT-bezogene Phasen sind wichtig für die didaktische Struktur--&gt; IT-Module / IT-Infrastruktur / Grundlage DT / IOT</t>
  </si>
  <si>
    <t>4.7</t>
  </si>
  <si>
    <t>Anzahl verschiedener Zustände</t>
  </si>
  <si>
    <t>1 | 2-3 | 3-5 | &gt;5 | individuell auf Zielgruppen abgestimmt</t>
  </si>
  <si>
    <t>Zielgruppenabgestimmte Zustände stützen die Lernpfad-Differenzierung.</t>
  </si>
  <si>
    <t>4.8</t>
  </si>
  <si>
    <t>Datenerfassung | Rückverfolgbarkeit | Datenverarbeitung (z. B. KI) | Assistenzsysteme | digitale Fertigung | Simulation | Datenmanagement &amp; Visualisierung | Automatisierungstechnik | Cybersecurity | Netzwerktechnologien</t>
  </si>
  <si>
    <t>KI, Assistenzsysteme und Automatisierung sind angestrebte Lern-/Technologieinhalte.</t>
  </si>
  <si>
    <t>4.9</t>
  </si>
  <si>
    <t>Standort der LF</t>
  </si>
  <si>
    <t>eigener Standort | in andere Fabrik integriert | in anderes Gebäude integriert | digitaler Standort</t>
  </si>
  <si>
    <t>Standort durch RePAIR-Labor bereits festgelegt.</t>
  </si>
  <si>
    <t>4.10</t>
  </si>
  <si>
    <t>Rolle des Betreibers</t>
  </si>
  <si>
    <t>Teilnehmende | Personal der Organisation | Trainer:in | festangestelltes Personal</t>
  </si>
  <si>
    <t>Lehrpersonenunabhängigkeit beeinflusst Betreiberrolle.</t>
  </si>
  <si>
    <t>4.11</t>
  </si>
  <si>
    <t>Besprechungsraum</t>
  </si>
  <si>
    <t>kein separater Raum | in Shopfloor integriert | separater Raum</t>
  </si>
  <si>
    <t>Raumdetail, nicht frameworkbestimmend.</t>
  </si>
  <si>
    <t>4.12</t>
  </si>
  <si>
    <t>Automatisierungs-pyramide</t>
  </si>
  <si>
    <t xml:space="preserve">Sensoren &amp; Aktoren | SPS (PLC) | SCADA | MES | ERP | SES </t>
  </si>
  <si>
    <t>Detailtiefe der Automatisierungsarchitektur nachrangig.</t>
  </si>
  <si>
    <t>4.13</t>
  </si>
  <si>
    <t>IKT-Protokoll</t>
  </si>
  <si>
    <t>physisch | Daten | Netzwerk | Transport | Sitzung | Darstellung | Anwendung | mehr als eine Anwendung</t>
  </si>
  <si>
    <t>Technische IKT-Ebene nicht relevant für didaktische Struktur.</t>
  </si>
  <si>
    <t>4.14</t>
  </si>
  <si>
    <t>digitale Assistenz | physische Assistenz | Roboter – Industrieroboter | Roboter – Leichtbauroboter | Roboter – tragbare Roboter</t>
  </si>
  <si>
    <t>Assistenz-/Robotiksysteme als Lerninhalt und Lehrpersonenentlastung relevant.</t>
  </si>
  <si>
    <t>4.15</t>
  </si>
  <si>
    <t>funkbasierte Technologie | optische Technologie</t>
  </si>
  <si>
    <t>Spezifische Tracking-Technologie nachrangig.</t>
  </si>
  <si>
    <t xml:space="preserve">Quelle: Abele et al. (2024), Kap. 5.4, Abb. 5.11 (nach Tisch et al. 2015b; Tisch 2018; Kreß et al. 2023). </t>
  </si>
  <si>
    <t>Eigenschaften der im Lernszenario gefertigten Produkte:   Materialität  |  Herkunft  |  Komplexität  |  Varianten</t>
  </si>
  <si>
    <t>5.1</t>
  </si>
  <si>
    <t>materiell (physisches Produkt) | immateriell (Dienstleistung) | digital (Daten, Software)</t>
  </si>
  <si>
    <t xml:space="preserve">Das Altgerät dient als physisches Lernobjekt und bildet die Grundlage des hands-on Szenarios.
</t>
  </si>
  <si>
    <t>5.2</t>
  </si>
  <si>
    <t>Produktform</t>
  </si>
  <si>
    <t>Stückgut | Schüttgut | Fließprodukte</t>
  </si>
  <si>
    <t xml:space="preserve">Stückgut in Form von Altgeräten entspricht dem zentralen Remanufacturing-Objekt.
</t>
  </si>
  <si>
    <t>5.3</t>
  </si>
  <si>
    <t>Produktherkunft</t>
  </si>
  <si>
    <t>Eigenentwicklung | Entwicklung durch Teilnehmende (wechselnde Ideen) | Teilentwicklung | Fremdentwicklung</t>
  </si>
  <si>
    <t>Herkunft der Lernprodukte bei realen Altgeräten weniger steuerbar.</t>
  </si>
  <si>
    <t>5.4</t>
  </si>
  <si>
    <t>Marktfähigkeit</t>
  </si>
  <si>
    <t xml:space="preserve"> am Markt verfügbar | am Markt verfügbar, aber didaktisch vereinfacht | nicht am Markt verfügbar</t>
  </si>
  <si>
    <t>Reale vs. didaktisch vereinfachte Altgeräte beeinflussen Lernkomplexität.</t>
  </si>
  <si>
    <t>5.5</t>
  </si>
  <si>
    <t>Funktionalität</t>
  </si>
  <si>
    <t>funktionsfähiges Produkt | didaktisch angepasst, eingeschränkte Funktion | ohne Funktion, nur zur Demonstration</t>
  </si>
  <si>
    <t xml:space="preserve">Funktionszustand bestimmt die remanufacturing-typischen Bewertungs- und Entscheidungsaufgaben.
</t>
  </si>
  <si>
    <t>5.6</t>
  </si>
  <si>
    <t>Anzahl verschiedener Produkte</t>
  </si>
  <si>
    <t>1 Produkt | 2 Produkte | 3-4 Produkte | &gt;4 Produkte | flexibel, durch Teilnehmende entwickelt | Annahme realer Aufträge</t>
  </si>
  <si>
    <t>Produktvielfalt skaliert die Breite der Lernszenarien über verschiedene Zielgruppen hinweg.</t>
  </si>
  <si>
    <t>5.7</t>
  </si>
  <si>
    <t>Anzahl Varianten</t>
  </si>
  <si>
    <t xml:space="preserve"> 1 Variante | 2-4 Varianten | 5-20 Varianten | &gt;20 Varianten | flexibel, je nach Teilnehmenden | durch reale Aufträge bestimmt | konfigurierbar</t>
  </si>
  <si>
    <t>Variantenvielfalt bildet die für Remanufacturing zentrale Variabilität der Ausgangszustände ab.</t>
  </si>
  <si>
    <t>5.8</t>
  </si>
  <si>
    <t>Anzahl Komponenten</t>
  </si>
  <si>
    <t>1 Komp. | 2-5 Komp. | 6-20 Komp. | 21-50 Komp. | 51-100 Komp. | &gt;100 Komp. | konfigurierbar</t>
  </si>
  <si>
    <t>Die Anzahl der Komponenten steuert die Komplexität der Demontageprozesse.</t>
  </si>
  <si>
    <t>5.9</t>
  </si>
  <si>
    <t>Wiederverwendung/Recycling | Ausstellung/Display | Give-away | Verkauf | Entsorgung</t>
  </si>
  <si>
    <t>Wiederverwendung/Recycling ist das didaktische Ziel und Kern der Kreislauflogik.</t>
  </si>
  <si>
    <t>5.10</t>
  </si>
  <si>
    <t>Produktgewicht</t>
  </si>
  <si>
    <t>≤ 1 kg | 1 kg – 10 kg | 10 kg – 25 kg | ≥ 25 kg</t>
  </si>
  <si>
    <t>Gewicht ergonomisch relevant, aber nicht frameworkbestimmend.</t>
  </si>
  <si>
    <t>5.11</t>
  </si>
  <si>
    <t>Komponenten</t>
  </si>
  <si>
    <t>physisch – mechanisch | physisch – elektrisch | physisch – elektronisch | digital</t>
  </si>
  <si>
    <t>Die Art der Komponenten bestimmt die erforderlichen Demontage- und Diagnosekompetenzen.</t>
  </si>
  <si>
    <t xml:space="preserve">Quelle: Abele et al. (2024), Kap. 5.5, Abb. 5.13 (nach Tisch et al. 2015b; Tisch 2018; Kreß et al. 2023). </t>
  </si>
  <si>
    <t>Kompetenzklassen  |  Lernziele  |   Lehr-/Lernstrategien  |  Trainerrolle  |  Evaluation  |  Personalisierung</t>
  </si>
  <si>
    <t>Bezug Kompetenzmodell Erpenbeck</t>
  </si>
  <si>
    <t>6.1</t>
  </si>
  <si>
    <t>fachlich-methodische Kompetenzen | sozial-kommunikative Kompetenzen | personale Kompetenzen | aktivitätsorientierte Kompetenzen</t>
  </si>
  <si>
    <t>1:1-Entsprechung zu Erpenbecks vier Basiskompetenzen (F/S/P/A). Direkte theoretische Fundierung des Kompetenzaufbaus.</t>
  </si>
  <si>
    <t>Definiert, welche Remanufacturing-Kompetenzen aufgebaut werden – Kern der Forschungsfrage 1.</t>
  </si>
  <si>
    <t>6.2</t>
  </si>
  <si>
    <t>Dimension der Lernziele</t>
  </si>
  <si>
    <t>kognitiv | affektiv | psychomotorisch</t>
  </si>
  <si>
    <t>Affektiver Bereich (Werte/Einstellungen) als Brücke zur personalen Kompetenz (P). Die kognitive Ausprägung wird über die revidierte Bloom-Taxonomie (Anderson &amp; Krathwohl 2001) in 6 Prozessstufen × 4 Wissensarten ausdifferenziert – siehe Blatt 'Bloom-Bezug'.</t>
  </si>
  <si>
    <t>Handlungsorientierung verlangt psychomotorische + kognitive Lernziele; Bloom liefert die Stufung der kognitiven Tiefe.</t>
  </si>
  <si>
    <t>6.3</t>
  </si>
  <si>
    <t>Lernszenario-Strategie</t>
  </si>
  <si>
    <t>Instruktion | Demonstration | geschlossenes Szenario | offenes Szenario</t>
  </si>
  <si>
    <t>Offene Szenarien adressieren Erpenbecks Kern: selbstorganisiertes Handeln unter Unsicherheit (A/P).</t>
  </si>
  <si>
    <t>Variable Ausgangszustände erfordern offene, fehlererlaubte Szenarien.</t>
  </si>
  <si>
    <t>6.4</t>
  </si>
  <si>
    <t>Typ der Lernumgebung</t>
  </si>
  <si>
    <t>Greenfield (Aufbau einer Fabrikumgebung) | Brownfield (Verbesserung bestehender Umgebung)</t>
  </si>
  <si>
    <t>Brownfield entspricht Aufwertung bestehender Module ('Schrank').</t>
  </si>
  <si>
    <t>6.5</t>
  </si>
  <si>
    <t>Kommunikationskanal</t>
  </si>
  <si>
    <t>Präsenzlernen (in der Fabrikumgebung) | Fernzugriff (zur Fabrikumgebung)</t>
  </si>
  <si>
    <t>Präsenz im RePAIR-Labor zentral; Fernzugriff sekundär.</t>
  </si>
  <si>
    <t>6.6</t>
  </si>
  <si>
    <t>Grad der Autonomie</t>
  </si>
  <si>
    <t>angeleitet (instructed) | selbstgesteuert/selbstreguliert | selbstbestimmt/selbstorganisiert</t>
  </si>
  <si>
    <t>Steigende Autonomie = Erpenbecks Selbstorganisationsdisposition; Kernmerkmal von Kompetenz vs. Qualifikation.</t>
  </si>
  <si>
    <t>Selbstorganisiertes Handeln ist erklärtes Lernprinzip der Arbeit.</t>
  </si>
  <si>
    <t>6.7</t>
  </si>
  <si>
    <t>Rolle des Trainers</t>
  </si>
  <si>
    <t>Präsentator:in | Moderator:in | Coach | Instrukteur:in</t>
  </si>
  <si>
    <t>Coach-/Moderationsrollen fördern selbstorganisiertes Lernen (A/P/S).</t>
  </si>
  <si>
    <t>Lehrpersonenunabhängigkeit verschiebt Rolle von Instruktion zu Begleitung.</t>
  </si>
  <si>
    <t>6.8</t>
  </si>
  <si>
    <t>Art der Lernaktivitäten</t>
  </si>
  <si>
    <t>Tutorial | praktischer Laborkurs | Seminar | Workshop | Projektarbeit | Flipped Classroom | Business-Szenario (z. B. Produktlebenszyklus)</t>
  </si>
  <si>
    <t>Projektarbeit/Business-Szenarien aktivieren alle vier Kompetenzklassen (A integriert P, F, S).</t>
  </si>
  <si>
    <t>Handlungsorientierte Aufgaben (Altgerät bewerten --&gt; entscheiden --&gt; demontieren) sind Methodenkern.</t>
  </si>
  <si>
    <t>6.9</t>
  </si>
  <si>
    <t>Standardisierung der Trainings</t>
  </si>
  <si>
    <t>standardisierte Lernmodule | individualisierte Lernmodule | modulare Lernmodule</t>
  </si>
  <si>
    <t>Modulare/standardisierte Lernmodule sind das Herzstück des Schrank-Prinzips und der Skalierbarkeit.</t>
  </si>
  <si>
    <t>6.10</t>
  </si>
  <si>
    <t>Theoretische Fundierung</t>
  </si>
  <si>
    <t>Voraussetzung | vorab (en bloc) | abwechselnd mit Praxisteilen | bedarfsorientiert</t>
  </si>
  <si>
    <t>Verzahnung Theorie–Praxis (Manufacturing-Grundlagen --&gt; Remanufacturing).</t>
  </si>
  <si>
    <t>6.11</t>
  </si>
  <si>
    <t>Teilnehmerfeedback | Kompetenzmessung | Transfer in reale Fabrik | ökonomische Wirkung des Trainings | Return on Training</t>
  </si>
  <si>
    <t>Ebene 'Kompetenzmessung' = direkter Anknüpfungspunkt an Erpenbecks Messverfahren.</t>
  </si>
  <si>
    <t>MVP-Evaluation + Kompetenzmessung sind Teil der Methodik.</t>
  </si>
  <si>
    <t>6.12</t>
  </si>
  <si>
    <t>Wissenstest – schriftlich | Wissenstest – mündlich | schriftlicher Bericht | mündliche Präsentation | praktische Prüfung | 360-Grad-Assessment | keine</t>
  </si>
  <si>
    <t>Praktische Prüfung/360-Grad erfassen performanzorientiert (Erpenbeck) statt nur kognitives Wissen.</t>
  </si>
  <si>
    <t>Handlungsorientierte Kompetenz erfordert praktische Prüfungsformate.</t>
  </si>
  <si>
    <t>6.13</t>
  </si>
  <si>
    <t>Lernfabrik-Erweiterungen</t>
  </si>
  <si>
    <t>Fallstudie | Rollenspiel | Simulation | keine</t>
  </si>
  <si>
    <t>Fallstudie/Simulation als didaktische Ergänzung für Bewertungsentscheidungen.</t>
  </si>
  <si>
    <t>6.14</t>
  </si>
  <si>
    <t>Grad der Personalisierung</t>
  </si>
  <si>
    <t>Teilnehmerpersonalisierung | Gruppenpersonalisierung | keine</t>
  </si>
  <si>
    <t>Zielgruppenspezifische Kompetenzpfade verlangen Personalisierung.</t>
  </si>
  <si>
    <t>6.15</t>
  </si>
  <si>
    <t>Teilnahmeform</t>
  </si>
  <si>
    <t>Präsenzteilnahme | hybride Teilnahme | Fernteilnahme</t>
  </si>
  <si>
    <t>Präsenz dominiert (haptisch); Hybridform für Graduate Campus denkbar.</t>
  </si>
  <si>
    <t>Quelle Morphologie: Abele et al. (2024), Kap. 5.6, Abb. 5.16 (nach Tisch et al. 2015a; Kreß et al. 2023). – Kompetenzklassen nach Erpenbeck &amp; Heyse (2007); Erpenbeck &amp; von Rosenstiel (Hrsg., 2007).</t>
  </si>
  <si>
    <t>Dimension 7 – Metriken / Kennzahlen</t>
  </si>
  <si>
    <t>Quantitative Kenngrößen: Teilnehmerzahl  |  Moduldauer  |  Fläche  |  Personal  |  Kosten  |  Publikationen</t>
  </si>
  <si>
    <t>7.1</t>
  </si>
  <si>
    <t>1-5 | 6-10 | 10-15 | 16-20 | &gt;20</t>
  </si>
  <si>
    <t>Modulkapazität bestimmt Skalierbarkeit und Wirtschaftlichkeit (MVP).</t>
  </si>
  <si>
    <t>7.2</t>
  </si>
  <si>
    <t>1 | 2-4 | 5-10 | &gt;10 | modularisiert</t>
  </si>
  <si>
    <t>Direkte Kennzahl des Schrank-Prinzips/Modulportfolios.</t>
  </si>
  <si>
    <t>7.3</t>
  </si>
  <si>
    <t>Undergraduate: 1 | Undergraduate: 2-4 | Undergraduate: 5-10 | Undergraduate: &gt;10 | Undergraduate: modularisiert | Graduate: 1 | Graduate: 2-4 | Graduate: 5-10 | Graduate: &gt;10 | Graduate: modularisiert</t>
  </si>
  <si>
    <t>Zielgruppendifferenzierte Modulpfade (Undergraduate/Graduate Campus).</t>
  </si>
  <si>
    <t>7.4</t>
  </si>
  <si>
    <t>Durchschnittsdauer eines Lernmoduls</t>
  </si>
  <si>
    <t>≤ 0,5 Tag | 0,5 – 1 Tag | 1 – 2 Tage | 2 – 5 Tage | 5 – 10 Tage | 10 – 20 Tage | &gt; 20 Tage</t>
  </si>
  <si>
    <t>Zeitangaben sind definiertes Modul-Kriterium im Kriterienkatalog.</t>
  </si>
  <si>
    <t>7.5</t>
  </si>
  <si>
    <t>Hochqualifizierte pro Jahr ausgebildet</t>
  </si>
  <si>
    <t>&lt; 50 | 50-200 | 201-500 | 501-1000 | &gt;1000</t>
  </si>
  <si>
    <t>Wirkungskennzahl, relevant für Skalierungsnachweis.</t>
  </si>
  <si>
    <t>7.6</t>
  </si>
  <si>
    <t>Größe der LF</t>
  </si>
  <si>
    <t>&lt; 50 qm | 50 – 100 qm | 100 – 300 qm | 300 – 500 qm | 500 – 1000 qm | &gt; 1000 qm</t>
  </si>
  <si>
    <t>Fläche durch RePAIR-Labor vorgegeben.</t>
  </si>
  <si>
    <t>7.7</t>
  </si>
  <si>
    <t>VZÄ in der LF (Trainer, Betreiber etc.)</t>
  </si>
  <si>
    <t>&lt; 1 | 2-4 | 5-9 | 10-15 | &gt;15</t>
  </si>
  <si>
    <t>Personalbedarf relevant für Rentabilität und Lehrpersonenunabhängigkeit.</t>
  </si>
  <si>
    <t>7.8</t>
  </si>
  <si>
    <t>Bildungseinheiten pro Jahr</t>
  </si>
  <si>
    <t>&lt; 5 | 5-15 | 15-30 | 30-50 | &gt;50</t>
  </si>
  <si>
    <t>Auslastungskennzahl für Wirtschaftlichkeit.</t>
  </si>
  <si>
    <t>7.9</t>
  </si>
  <si>
    <t>Industrietrainings pro Jahr</t>
  </si>
  <si>
    <t>Industrieweiterbildung als Erlösquelle.</t>
  </si>
  <si>
    <t>7.10a</t>
  </si>
  <si>
    <t>Disseminations (Verbreitung)-veranstaltungen pro Jahr</t>
  </si>
  <si>
    <t>Verbreitung sekundär zur Frameworkstruktur.</t>
  </si>
  <si>
    <t>7.10b</t>
  </si>
  <si>
    <t>Einrichtungskosten (Setup)</t>
  </si>
  <si>
    <t xml:space="preserve">&lt; 10.000 € | 10.000 – 100.000 € | 100.000 € – 1 Mio. € | &gt; 1 Mio. </t>
  </si>
  <si>
    <t>Investitionskosten direkt rentabilitätsrelevant.</t>
  </si>
  <si>
    <t>7.11</t>
  </si>
  <si>
    <t>Betriebskosten pro Jahr</t>
  </si>
  <si>
    <t>&lt; 10.000 € | 10.000 – 100.000 € | 100.000 € – 1 Mio. € | &gt; 1 Mio.</t>
  </si>
  <si>
    <t>Laufende Kosten zentral für 'wirtschaftlich rentabel'.</t>
  </si>
  <si>
    <t>7.12</t>
  </si>
  <si>
    <t>Peer-Review-Publikationen zur LF pro Jahr</t>
  </si>
  <si>
    <t>&lt; 5 | 5-15 | 15-25 | &gt; 25</t>
  </si>
  <si>
    <t>Forschungsoutput nicht Gegenstand des Frameworks.</t>
  </si>
  <si>
    <t>7.13</t>
  </si>
  <si>
    <t>Drittmittel zur LF pro Jahr</t>
  </si>
  <si>
    <t>&lt; 10.000 € | 10.000 € – 1 Mio. € | 1 Mio. – 20 Mio. € | &gt; 20 Mio.</t>
  </si>
  <si>
    <t>Drittmittel als Finanzierungsquelle (Bezug zu D1).</t>
  </si>
  <si>
    <t>Quelle: Abele et al. (2024), Kap. 5.7, Abb. 5.17 (nach Tisch et al. 2015a; Kreß et al. 2023).</t>
  </si>
  <si>
    <t>Forschungsthemen  |  Forschungsgegenstand  |  beteiligte Personen  |  Personal  |  Rolle der LF in der Forschung</t>
  </si>
  <si>
    <t>8.2</t>
  </si>
  <si>
    <t>Forschungs-gegenstand</t>
  </si>
  <si>
    <t>neue Technologien | neue Prozesse | neue Methoden | neue Management-Werkzeuge | neue Materialien | neue didaktische Methoden | neue Grundlagenerkenntnisse</t>
  </si>
  <si>
    <t>'Neue didaktische Methoden' beschreibt genau den Beitrag der Arbeit.</t>
  </si>
  <si>
    <t>8.3</t>
  </si>
  <si>
    <t>Beteiligte Personen im Forschungsprozess</t>
  </si>
  <si>
    <t>Spitzenforschende (z. B. Vollprofessur, Forschungsleitung) | erfahrene Forschende (z. B. assoz. Professur, Senior Researcher) | anerkannte Forschende (z. B. Juniorprofessur, Post-doc) | Nachwuchsforschende (z. B. Promovierende)</t>
  </si>
  <si>
    <t>Personalebene der Forschung nicht Gegenstand des Frameworks.</t>
  </si>
  <si>
    <t>8.4</t>
  </si>
  <si>
    <t>Forschungsumfang</t>
  </si>
  <si>
    <t>LF als Forschungsobjekt | LF als Forschungsenabler</t>
  </si>
  <si>
    <t>LF als Forschungsobjekt (didaktisches Framework selbst wird untersucht).</t>
  </si>
  <si>
    <t>Quelle: Abele et al. (2024), Kap. 5.8, Abb. 5.18 (nach Kreß et al. 2023).</t>
  </si>
  <si>
    <t>Future Skills!!!</t>
  </si>
  <si>
    <t>Modulbewertung – Erfüllungsgrad eines Lernmoduls gegen den Kriterienkatalog</t>
  </si>
  <si>
    <t>Modulname:</t>
  </si>
  <si>
    <t>Zielgruppe:</t>
  </si>
  <si>
    <t>erfüllt</t>
  </si>
  <si>
    <t>Skala:  erfüllt = 2   |   teilweise = 1   |   nicht erfüllt = 0   |   n.r. = nicht relevant (zählt nicht)</t>
  </si>
  <si>
    <t>teilweise</t>
  </si>
  <si>
    <t>nicht erfüllt</t>
  </si>
  <si>
    <t>Kriterium (Element)</t>
  </si>
  <si>
    <t>Indikator / Messgröße</t>
  </si>
  <si>
    <t>Bewertung</t>
  </si>
  <si>
    <t>Punkte</t>
  </si>
  <si>
    <t>Bemerkung</t>
  </si>
  <si>
    <t>nicht relevant</t>
  </si>
  <si>
    <t>I. Zielgruppen &amp; Lerninhalt</t>
  </si>
  <si>
    <t>Zielgruppen für Aus-/Weiterbildung</t>
  </si>
  <si>
    <t xml:space="preserve"> Industrie 4.0 </t>
  </si>
  <si>
    <t>Zwischensumme I. Zielgruppen &amp; Lerninhalt</t>
  </si>
  <si>
    <t>erreicht / max. (nur bewertete Kriterien) – Erfüllungsgrad</t>
  </si>
  <si>
    <t>II. Didaktik &amp; Kompetenzaufbau</t>
  </si>
  <si>
    <t>B.1</t>
  </si>
  <si>
    <t>Bloom: kognitive Zielstufe</t>
  </si>
  <si>
    <t>Prozessstufe</t>
  </si>
  <si>
    <t>B.2</t>
  </si>
  <si>
    <t>Bloom: Wissensart</t>
  </si>
  <si>
    <t>Wissensdimension</t>
  </si>
  <si>
    <t>Zwischensumme II. Didaktik &amp; Kompetenzaufbau</t>
  </si>
  <si>
    <t>III. Prozess- &amp; Produktbezug (Remanufacturing)</t>
  </si>
  <si>
    <t>Zwischensumme III. Prozess- &amp; Produktbezug (Remanufacturing)</t>
  </si>
  <si>
    <t>IV. Wirtschaftlichkeit &amp; Skalierung</t>
  </si>
  <si>
    <t>Zwischensumme IV. Wirtschaftlichkeit &amp; Skalierung</t>
  </si>
  <si>
    <t>GESAMT-ERFÜLLUNGSGRAD (alle bewerteten Kriterien)</t>
  </si>
  <si>
    <t>Hinweis: 'n.r.' schließt ein Kriterium aus der Wertung aus (zählt weder im Zähler noch im Nenner). Der Erfüllungsgrad ist damit nur auf die tatsächlich relevanten Kriterien bezogen. Für einen Modulvergleich die Gesamt- und Gruppenwerte mehrerer Modulblätter gegenüberstellen. Kriterien/Indikatoren: siehe Blatt 'FrameworkEntwurf'.</t>
  </si>
  <si>
    <t>Modulsteckbrief – standardisierte Modulbeschreibung</t>
  </si>
  <si>
    <t>Learning Factory · Kompetenzaufbau im Remanufacturing · Schrank-Prinzip. Felder korrespondieren mit der Morphologie nach Abele et al. (2024, Kap. 5) und dem Kompetenzmodell nach Erpenbeck &amp; Heyse (2007). Gelbe Zellen ausfüllen.</t>
  </si>
  <si>
    <t>1  Identifikation</t>
  </si>
  <si>
    <t>Modul-ID / Kürzel</t>
  </si>
  <si>
    <t>MODUL_123 / M_XY_01</t>
  </si>
  <si>
    <t>Modulname</t>
  </si>
  <si>
    <t>Altgerät bewerten und demontieren – Einstieg Remanufacturing</t>
  </si>
  <si>
    <t>Version / Stand</t>
  </si>
  <si>
    <t>V_01 / aktuelles Datum</t>
  </si>
  <si>
    <t>Autor:in / verantwortlich</t>
  </si>
  <si>
    <t>Modulverantwortlicher</t>
  </si>
  <si>
    <t>2  Zielgruppe &amp; Adressierung</t>
  </si>
  <si>
    <t>Zielgruppe(n)</t>
  </si>
  <si>
    <t>Bachelor (&gt;3. Semester)</t>
  </si>
  <si>
    <t>Graduate Campus</t>
  </si>
  <si>
    <t>Fachkraft</t>
  </si>
  <si>
    <t>Führungskraft</t>
  </si>
  <si>
    <t>Vorwissen / Voraussetzung</t>
  </si>
  <si>
    <t>kein Vorwissen</t>
  </si>
  <si>
    <t>Vorwissen Grundlagen</t>
  </si>
  <si>
    <t>Vorwissen Anwendung</t>
  </si>
  <si>
    <t>Vorwissen Vertieft</t>
  </si>
  <si>
    <t xml:space="preserve">Teilnehmerkonstellation </t>
  </si>
  <si>
    <t>heterogen</t>
  </si>
  <si>
    <t>Teilnehmergröße</t>
  </si>
  <si>
    <t>kleine Gruppe (3-4 TN)</t>
  </si>
  <si>
    <t>Einzelschulung</t>
  </si>
  <si>
    <t>mittlere Gruppe (5-10 TN)</t>
  </si>
  <si>
    <t>große Gruppe (&gt;11 TN)</t>
  </si>
  <si>
    <t>3  Lernziele &amp; Kompetenzen</t>
  </si>
  <si>
    <t>Übergeordnetes Lernziel</t>
  </si>
  <si>
    <t>Lernende können ein gebrauchtes Gerät hinsichtlich Wiederaufbereitbarkeit bewerten, eine begründete Reman-Entscheidung treffen und es sicher zerstörungsfrei demontieren.</t>
  </si>
  <si>
    <t>Lernziel nicht zutreffend</t>
  </si>
  <si>
    <t>Lernziel teilweise zutreffend</t>
  </si>
  <si>
    <t>Lernziel zutreffend</t>
  </si>
  <si>
    <t>Kompetenzklassen (Erpenbeck)</t>
  </si>
  <si>
    <t>F (Demontage-/Diagnosemethodik), A (Entscheidung umsetzen), P (Selbsteinschätzung der Unsicherheit)</t>
  </si>
  <si>
    <t>Lernzieldimension</t>
  </si>
  <si>
    <t>kognitiv + psychomotorisch (haptische Demontage)</t>
  </si>
  <si>
    <t>kognitiv</t>
  </si>
  <si>
    <t>psychomotorisch (haptisch)</t>
  </si>
  <si>
    <t>affektiv</t>
  </si>
  <si>
    <t>Kognitive Stufen (Bloom)</t>
  </si>
  <si>
    <t>überwiegend 3. Anwenden, 4. Analysieren, 5. Bewerten</t>
  </si>
  <si>
    <t>Wissensarten (Bloom)</t>
  </si>
  <si>
    <t>prozedural (Demontage), konzeptuell (Bewertungskriterien), metakognitiv (Selbsteinschätzung)</t>
  </si>
  <si>
    <t>Feinlernziele</t>
  </si>
  <si>
    <t>1) Zustand systematisch erfassen [Analysieren]  2) Wiederverwendbarkeit einschätzen [Bewerten]  3) Reman-/Recycling-Entscheidung begründen [Bewerten]  4) zerstörungsfrei demontieren [Anwenden]</t>
  </si>
  <si>
    <t>1) Zustand systematisch erfassen [Analysieren]</t>
  </si>
  <si>
    <t>2) Wiederverwendbarkeit einschätzen [Bewerten]</t>
  </si>
  <si>
    <t>3) Reman-/Recycling-Entscheidung begründen [Bewerten]</t>
  </si>
  <si>
    <t>4) zerstörungsfrei demontieren [Anwenden]</t>
  </si>
  <si>
    <t>4  Inhalt &amp; Prozessbezug (Remanufacturing)</t>
  </si>
  <si>
    <t>Prozessbezug (Lebenszyklus)</t>
  </si>
  <si>
    <t>Produktlebenszyklus</t>
  </si>
  <si>
    <t>Recycling/ Remanufacturing</t>
  </si>
  <si>
    <t>Schwerpunkt Demontage &amp; Bewertung</t>
  </si>
  <si>
    <t>Prozesstyp / Variabilität</t>
  </si>
  <si>
    <t>didaktisch vereinfacht</t>
  </si>
  <si>
    <t>reales Altgerät</t>
  </si>
  <si>
    <t>Lernobjekt</t>
  </si>
  <si>
    <t>mittelgroß</t>
  </si>
  <si>
    <t>klein</t>
  </si>
  <si>
    <t>groß</t>
  </si>
  <si>
    <t>Produktkomponenten</t>
  </si>
  <si>
    <t xml:space="preserve">6 - 20 </t>
  </si>
  <si>
    <t>2 - 5</t>
  </si>
  <si>
    <t>51 -100</t>
  </si>
  <si>
    <t>&gt;100</t>
  </si>
  <si>
    <t>Lerninhalte (Stichworte)</t>
  </si>
  <si>
    <t xml:space="preserve"> Entscheidungslogik (reuse/reman/recycle)</t>
  </si>
  <si>
    <t>Zustandsdiagnose</t>
  </si>
  <si>
    <t>Bewertungskriterien</t>
  </si>
  <si>
    <t>Demontagetechnik</t>
  </si>
  <si>
    <t>Arbeitssicherheit</t>
  </si>
  <si>
    <t>Technologiebezug</t>
  </si>
  <si>
    <t>kein Bezug</t>
  </si>
  <si>
    <t>KI-gestützt</t>
  </si>
  <si>
    <t>5  Didaktik &amp; Methodik</t>
  </si>
  <si>
    <t>offenes Szenario (fehlererlaubt), variable Ausgangslage</t>
  </si>
  <si>
    <t xml:space="preserve">Instruktion </t>
  </si>
  <si>
    <t>geschlossenes Szenario</t>
  </si>
  <si>
    <t>offenes Szenario (variable Ausgangslage)</t>
  </si>
  <si>
    <t>selbstgesteuert mit Coaching-Begleitung</t>
  </si>
  <si>
    <t>angeleitet (instructed)</t>
  </si>
  <si>
    <t xml:space="preserve">selbstgesteuert/selbstreguliert </t>
  </si>
  <si>
    <t>Coach (Lernbegleitung statt Frontalinstruktion)</t>
  </si>
  <si>
    <t xml:space="preserve">Präsentator:in </t>
  </si>
  <si>
    <t>Lernaktivität</t>
  </si>
  <si>
    <t>praktischer Laborkurs</t>
  </si>
  <si>
    <t>Flipped Classroom</t>
  </si>
  <si>
    <t>Business-Szenario (z. B. Produktlebenszyklus)</t>
  </si>
  <si>
    <t>Sozialform</t>
  </si>
  <si>
    <t>6  Organisation &amp; Einordnung</t>
  </si>
  <si>
    <t>Dauer</t>
  </si>
  <si>
    <t>2 – 5 Tage</t>
  </si>
  <si>
    <t>≤ 0,5 Tag</t>
  </si>
  <si>
    <t>0,5 – 1 Tag</t>
  </si>
  <si>
    <t xml:space="preserve"> 1 – 2 Tage</t>
  </si>
  <si>
    <t xml:space="preserve"> 5 – 10 </t>
  </si>
  <si>
    <t>10 – 20 Tage</t>
  </si>
  <si>
    <t>&gt; 20 Tage</t>
  </si>
  <si>
    <t>Teilnehmerzahl</t>
  </si>
  <si>
    <t>3 - 4 Teilnehmende</t>
  </si>
  <si>
    <t>6-10</t>
  </si>
  <si>
    <t>10-15</t>
  </si>
  <si>
    <t>16-20</t>
  </si>
  <si>
    <t>&gt;20</t>
  </si>
  <si>
    <t>Ort / Setting</t>
  </si>
  <si>
    <t>physisch (RePAIR-Labor), hands-on</t>
  </si>
  <si>
    <t>Benötigte Ausstattung</t>
  </si>
  <si>
    <t>Demontage-Arbeitsplatz, Werkzeugsatz, PSA, Altgeräte-Pool, Bewertungsbogen</t>
  </si>
  <si>
    <t>Position im Lernpfad</t>
  </si>
  <si>
    <t>Einstiegsmodul Remanufacturing; baut auf Manufacturing-Grundlagen auf; Folgemodul: Aufarbeitung/Wiedermontage</t>
  </si>
  <si>
    <t>Einstiegsmodul</t>
  </si>
  <si>
    <t>Folgemodul</t>
  </si>
  <si>
    <t>Expertenmodul</t>
  </si>
  <si>
    <t xml:space="preserve">Modularität  </t>
  </si>
  <si>
    <t>modular &amp; lehrpersonenunabhängig; auf andere Geräteklassen übertragbar</t>
  </si>
  <si>
    <t>modular</t>
  </si>
  <si>
    <t>nicht modular</t>
  </si>
  <si>
    <t>Übertragbarkeit</t>
  </si>
  <si>
    <t>lehrpersonabhängig</t>
  </si>
  <si>
    <t>nicht lehrpersonabhängig</t>
  </si>
  <si>
    <t>7  Evaluation &amp; Erfolgskriterien</t>
  </si>
  <si>
    <t>Evaluationsebene</t>
  </si>
  <si>
    <t>Prüfungs-/Bewertungsform</t>
  </si>
  <si>
    <t>Erfolgskriterium</t>
  </si>
  <si>
    <t>korrekte Remanufacturing-Entscheidung begründet + zerstörungsfreie Demontage erreicht</t>
  </si>
  <si>
    <t>8  Wirtschaftlichkeit &amp; Trägerschaft</t>
  </si>
  <si>
    <t>Trägerschaft / Partner</t>
  </si>
  <si>
    <t>Hochschule Aalen + regionale Industriepartner</t>
  </si>
  <si>
    <t>Kostenrahmen (Hinweis)</t>
  </si>
  <si>
    <t>geringe Materialkosten (Altgeräte-Pool); Werkzeug mehrfach nutzbar</t>
  </si>
  <si>
    <t>Geschäftsmodell</t>
  </si>
  <si>
    <t>offen: Kursgebühr (Graduate Campus) / curricular (Studium)</t>
  </si>
  <si>
    <t>Hinweis: Dies ist ein ausgefülltes Beispiel (Demontage-/Bewertungsmodul). Für ein neues Modul die Werte in Spalte B überschreiben. Anschließende Bewertung über das Blatt 'Modulbewertung'. Druckfähige Word-Vorlage (blanko + Beispiel) separat verfügbar.</t>
  </si>
  <si>
    <t>1. Modulziel &amp; Einordnung</t>
  </si>
  <si>
    <t>2. Didaktischer Ablauf</t>
  </si>
  <si>
    <t>3. KI-Bezug</t>
  </si>
  <si>
    <t>4. Technische Umsetzung</t>
  </si>
  <si>
    <t>5. Zielgruppe &amp; Skalierung</t>
  </si>
  <si>
    <t>6. Ergebnis &amp; Lernerfolg</t>
  </si>
  <si>
    <t>7. Integration in LF</t>
  </si>
  <si>
    <t>8. Didaktische Qualität</t>
  </si>
  <si>
    <t>9. Standardisierung</t>
  </si>
  <si>
    <t>10. Strategische Relevanz</t>
  </si>
  <si>
    <t>11. Hinweise &amp; Rahmenbedingungen</t>
  </si>
  <si>
    <t>12. Feedback</t>
  </si>
  <si>
    <t>Lernziel alle:</t>
  </si>
  <si>
    <t>Kompetenzlücke</t>
  </si>
  <si>
    <t>Kompetenzstufe</t>
  </si>
  <si>
    <t>Hands-on-Anteile</t>
  </si>
  <si>
    <t>Reflexion-/Transfer</t>
  </si>
  <si>
    <t>Schritt-für-Schritt-Ablauf</t>
  </si>
  <si>
    <t>KI_Komponente</t>
  </si>
  <si>
    <t>Verständnis Funktionsweise &amp; Grenzen oder fertiges System</t>
  </si>
  <si>
    <t>Human-in-the-loop</t>
  </si>
  <si>
    <t>Umgang mit Fehler &amp; KI-Unsicherheiten</t>
  </si>
  <si>
    <t>Hardeware</t>
  </si>
  <si>
    <t>Software</t>
  </si>
  <si>
    <t>Stabilität / Wartung</t>
  </si>
  <si>
    <t>Niveaus</t>
  </si>
  <si>
    <t>Kapazität TN</t>
  </si>
  <si>
    <t>Betreuungsaufwand</t>
  </si>
  <si>
    <t>Modulergebnis</t>
  </si>
  <si>
    <t>Kompetenzaufbau</t>
  </si>
  <si>
    <t>Lernerfolgsmessung</t>
  </si>
  <si>
    <t>Output</t>
  </si>
  <si>
    <t>systematisches Feedback</t>
  </si>
  <si>
    <t>Modell als Prozesskette / eigenständig</t>
  </si>
  <si>
    <t>Verortung in LF</t>
  </si>
  <si>
    <t>Schnittstellen zu anderen Modulen</t>
  </si>
  <si>
    <t>Abhängigkeiten</t>
  </si>
  <si>
    <t>Technik-Demo?</t>
  </si>
  <si>
    <t>Echte Problemlösungsaufgaben?</t>
  </si>
  <si>
    <t>Lernprozess: Nutzung Fehler / Varianten?</t>
  </si>
  <si>
    <t>Reflexion/Transfer</t>
  </si>
  <si>
    <t>Transfervalidierung</t>
  </si>
  <si>
    <t>Reproduzierbarkeit</t>
  </si>
  <si>
    <t>Wiederverwendbarkeit</t>
  </si>
  <si>
    <t>Dokumentation</t>
  </si>
  <si>
    <t>Dokumentationsart</t>
  </si>
  <si>
    <t>Wichtigkeit für LF</t>
  </si>
  <si>
    <t>Mehrwert KI-Komponente</t>
  </si>
  <si>
    <t>USP</t>
  </si>
  <si>
    <t>sinnvolle Weiterentwicklung</t>
  </si>
  <si>
    <t>Vorhandene Unterlagen</t>
  </si>
  <si>
    <t>größte Hürden</t>
  </si>
  <si>
    <t>Stärken des Moduls</t>
  </si>
  <si>
    <t>KI Agent (Kamera, etc), Virt. Erkennen --&gt; Produktionspalnung, Digital Twin, Iot autom., Predictive Wartung, Abschlussarbeit, VL in PE (in Vorbereitung)--&gt; Digital Twin integrrieren und IoT für Ersatzteilbestellung;Digital Twin: Lager, Heizprozesse, Bohrung Sortieren, Umschlag; IoT: Zufa; Roboter (externe Schnittstelle); Forschung</t>
  </si>
  <si>
    <t>Digitale Kompetenz; Management; Duchgängikeits-kompetenz</t>
  </si>
  <si>
    <t>Fortgeschrittene; Digital Twin: Vertiefung; IoT: Spezialisierung</t>
  </si>
  <si>
    <t>Digital Twin : hauptsächlich aufbauen und real testen</t>
  </si>
  <si>
    <t>IoT: Datenaufbau, Sensoren verknüpfen, verdrahten….; ALGO</t>
  </si>
  <si>
    <t>immer; Projekt: Chef-Projektleiter, Methodenkompetenz --Cowork</t>
  </si>
  <si>
    <t>ist noch offen</t>
  </si>
  <si>
    <t>Bilderkennung; IoT: Prozessoptimierung; I-Digital Twin; Anomalieerkennung</t>
  </si>
  <si>
    <t>immer mehr fertige Systeme</t>
  </si>
  <si>
    <t>…</t>
  </si>
  <si>
    <t>WICHTIG: Teil der Aufgabe; für Optimierungsprozesse</t>
  </si>
  <si>
    <t>Sensorik, Entwicklerboards (Arduino, Rasperry, ..)</t>
  </si>
  <si>
    <t>ThingsWorx (geplant als feste Arbeitsumgebung)</t>
  </si>
  <si>
    <t>sehr stabil, da etablierte Firmensetup</t>
  </si>
  <si>
    <t>Skalierbar!</t>
  </si>
  <si>
    <t>Studierende: 10-15</t>
  </si>
  <si>
    <t>1 : 10-15</t>
  </si>
  <si>
    <t>Bericht: Studis: Projekt-/Abschlussarbeit</t>
  </si>
  <si>
    <t>Daten, Bericht, Report, Strukturen, …, Dokumentation</t>
  </si>
  <si>
    <t>technisch</t>
  </si>
  <si>
    <t>Test, Klausur; Anforderungsliste abarbeiten ("System läuft")</t>
  </si>
  <si>
    <t>Produkt, Dokument, Daten, …</t>
  </si>
  <si>
    <t>Studies: wöchentliche Previews</t>
  </si>
  <si>
    <t>eigenständig und integrierbar</t>
  </si>
  <si>
    <t>1. Inspektion</t>
  </si>
  <si>
    <t>Schnittstellen sind offen; eigenständig, aber können angegliedert werden</t>
  </si>
  <si>
    <t>Datenformat, Datenschnittstelle, Datenaustausch</t>
  </si>
  <si>
    <t>Nein, ist anwend- und skalierbar</t>
  </si>
  <si>
    <t>CAD-Daten abchecken, autom. KI-Checker; Forschungsprojekte</t>
  </si>
  <si>
    <t>evtl.; noch offen</t>
  </si>
  <si>
    <t>große Rolle; WICHTIG</t>
  </si>
  <si>
    <t>in der Firma --&gt; Folge-Workshops --&gt; aufbauen</t>
  </si>
  <si>
    <t>ja, bereits geschehens</t>
  </si>
  <si>
    <t>ja</t>
  </si>
  <si>
    <t>in Entstehung; Materialien sind vorhanden</t>
  </si>
  <si>
    <t>Kompetenzsteigerung; Digitale Brüche fallen weg; Digitale Kompetenzen werden aufgebaut</t>
  </si>
  <si>
    <t>Effizienz</t>
  </si>
  <si>
    <t>Schnelligkeit ist das Problem</t>
  </si>
  <si>
    <t>erst die Grundentwicklung</t>
  </si>
  <si>
    <t>Modelle vorhanden; Folien &amp; Skripte muss noch erstellt werden</t>
  </si>
  <si>
    <t>Anwendbarkeit; Anfälligkeit (Lehrtauglichkeit)</t>
  </si>
  <si>
    <t>Roboterarme, spezielle Kameras</t>
  </si>
  <si>
    <t>Python</t>
  </si>
  <si>
    <t>Anfänger</t>
  </si>
  <si>
    <t>Fachkräfte</t>
  </si>
  <si>
    <t>methodisch</t>
  </si>
  <si>
    <t>2. Montage</t>
  </si>
  <si>
    <t>KI-Anwendung / Anwendbarkeit</t>
  </si>
  <si>
    <t>IoT: Mini-Fabrik/Plastik als Idee</t>
  </si>
  <si>
    <t>cloudbasiert</t>
  </si>
  <si>
    <t>Fortgeschrittene</t>
  </si>
  <si>
    <t>Fach-/Führungskräfte: 5</t>
  </si>
  <si>
    <t>1 : 5</t>
  </si>
  <si>
    <t>andere: Zertifikate</t>
  </si>
  <si>
    <t>sozial</t>
  </si>
  <si>
    <t>Fach-/Führungskräfte: Feedback</t>
  </si>
  <si>
    <t>Feedback als Weiterentwicklungsgrundlage</t>
  </si>
  <si>
    <t>3. Demontage</t>
  </si>
  <si>
    <t>Digitalisierungskompetenz</t>
  </si>
  <si>
    <t>Experten</t>
  </si>
  <si>
    <t>Modulkurse als Workshops für Industrie, um Hands-on-Kompetenzen aufzubauen</t>
  </si>
  <si>
    <t>Learning Factory · Kompetenzaufbau in der digitalen Produktion · Modul "Schwarzer" (KI · Digital Twin · IoT)</t>
  </si>
  <si>
    <t>laufende Kennung im Modulkatalog</t>
  </si>
  <si>
    <t>Digitaler Zwilling und IoT in der Produktion – KI-gestützte Prozessoptimierung</t>
  </si>
  <si>
    <t>V_01 / Juni 2026</t>
  </si>
  <si>
    <t>Studierende (Bachelor/Master), Fachkräfte, Führungskräfte; zusätzlich Industrie-Workshops</t>
  </si>
  <si>
    <t>mehrere Adressatengruppen über Niveaustufen abgebildet</t>
  </si>
  <si>
    <t>gestuft: Anfänger → Fortgeschrittene → Experten; Digital Twin = Vertiefung, IoT = Spezialisierung</t>
  </si>
  <si>
    <t>skalierbares Vorwissensniveau</t>
  </si>
  <si>
    <t>homogen je Niveaustufe (Studierende bzw. Fach-/Führungskräfte getrennt)</t>
  </si>
  <si>
    <t>Studierende: mittlere Gruppe (10–15 TN); Fach-/Führungskräfte: kleine Gruppe (5 TN)</t>
  </si>
  <si>
    <t>Betreuung 1:10–15 bzw. 1:5</t>
  </si>
  <si>
    <t>Hochschulbildung | berufliche Aus-/Weiterbildung | Forschung</t>
  </si>
  <si>
    <t>Studierende: Projekt-/Abschlussarbeit; Industrie: Zertifikatskurse</t>
  </si>
  <si>
    <t>Lernende können einen digitalen Zwilling eines Produktionsprozesses aufbauen, über IoT-Sensorik mit Realdaten verknüpfen und mittels KI (Bilderkennung, Anomalieerkennung) Prozesse analysieren und optimieren.</t>
  </si>
  <si>
    <t>F (fachlich-methodisch: Digital-Twin-/IoT-Methodik, Programmierung), A (aktivitätsorientiert: Umsetzung lauffähiger Systeme), P (personal: Projektleitung „Chef-Projektleiter"), S (sozial-kommunikativ: Cowork/Teamprojekt)</t>
  </si>
  <si>
    <t>Brücke Abele Dim. 6.1 ↔ Erpenbeck (ErpenbeckBezug)</t>
  </si>
  <si>
    <t>überwiegend kognitiv; psychomotorisch (Verdrahtung, Sensorik, Boards); affektiv (Umgang mit KI-Unsicherheit)</t>
  </si>
  <si>
    <t>Schwerpunkt 3. Anwenden, 4. Analysieren, 6. Erschaffen (Systemaufbau)</t>
  </si>
  <si>
    <t>Erschaffen ↔ F/A/P (Bloom&amp;Erpenbeck-Matrix)</t>
  </si>
  <si>
    <t>prozedural (Aufbau, Verdrahtung, Programmierung), konzeptuell (Digital-Twin-/IoT-Architektur), metakognitiv (Reflexion KI-Grenzen)</t>
  </si>
  <si>
    <t>1) Digital Twin aufbauen und real testen [Erschaffen]  2) IoT-Datenaufbau: Sensoren verknüpfen/verdrahten [Anwenden]  3) KI-Komponenten einbinden – Bilderkennung, Anomalieerkennung [Analysieren]  4) Prozesse datenbasiert optimieren [Bewerten/Erschaffen]  5) Umgang mit Fehlern &amp; KI-Unsicherheiten reflektieren [Analysieren/metakognitiv]</t>
  </si>
  <si>
    <t>4  Inhalt &amp; Prozessbezug</t>
  </si>
  <si>
    <t>Produktionsprozess; Verortung in LF-Stationen: Inspektion, Montage, Demontage</t>
  </si>
  <si>
    <t>Mini-Fabrik (Plastik) als IoT-Szenario angedacht</t>
  </si>
  <si>
    <t>reale Firmenumgebung; anwend- und skalierbar (keine reine Technik-Demo)</t>
  </si>
  <si>
    <t>prozess-/datenorientiert (Anlagen, Lager, Heizprozesse, Bohren, Sortieren, Umschlag)</t>
  </si>
  <si>
    <t>Digital Twin (Aufbau &amp; Test), IoT (Datenaufbau, Sensorik, Verdrahtung), KI (Bilderkennung, Anomalie-/Prozessoptimierung), Predictive Maintenance, Produktionsplanung, automatisierte Ersatzteilbestellung</t>
  </si>
  <si>
    <t>KI-gestützt (Bilderkennung, Digital Twin, Anomalieerkennung); Industrie 4.0 / IoT</t>
  </si>
  <si>
    <t>Kern-USP des Moduls</t>
  </si>
  <si>
    <t>offenes Szenario mit echten Problemlösungsaufgaben (z. B. CAD-Daten-Check, autom. KI-Checker, Forschungsprojekte); Fehler/Varianten als Lernanlass (noch im Ausbau)</t>
  </si>
  <si>
    <t>selbstgesteuert mit Projektcharakter; Studierende übernehmen Projektleitungsrolle</t>
  </si>
  <si>
    <t>Coach / Lernbegleitung (Cowork); kein Frontalformat</t>
  </si>
  <si>
    <t>Projektarbeit / praktischer Laborkurs mit hohem Hands-on-Anteil</t>
  </si>
  <si>
    <t>Modulergebnis: lauffähiges System + Doku</t>
  </si>
  <si>
    <t>Projektteam; Industrie als Workshop-Format</t>
  </si>
  <si>
    <t>projekt-/semesterbegleitend (Studierende); kompakte Workshops (Industrie)</t>
  </si>
  <si>
    <t>Schritt-für-Schritt-Ablauf noch offen</t>
  </si>
  <si>
    <t>physisch in der Learning Factory + cloudbasierte Arbeitsumgebung</t>
  </si>
  <si>
    <t>etabliertes, stabiles Firmensetup</t>
  </si>
  <si>
    <t>Sensorik, Entwicklerboards (Arduino, Raspberry Pi), Roboterarme, spezielle Kameras; Software: ThingWorx (feste Arbeitsumgebung), Python; cloudbasiert</t>
  </si>
  <si>
    <t>eigenständig und integrierbar; offene Schnittstellen zu anderen Modulen</t>
  </si>
  <si>
    <t>Anbindung über Datenformat/-schnittstelle/-austausch</t>
  </si>
  <si>
    <t>Modularität / Übertragbarkeit</t>
  </si>
  <si>
    <t>modular, reproduzierbar und wiederverwendbar (bereits erprobt); lehrpersonenunabhängig</t>
  </si>
  <si>
    <t>Dokumentation in Entstehung</t>
  </si>
  <si>
    <t>Teilnehmerfeedback (wöchentliche Previews der Studierenden; Feedback Fach-/Führungskräfte) | Lernerfolg | Transfer in reale Fabrik</t>
  </si>
  <si>
    <t>Test/Klausur; Abarbeiten einer Anforderungsliste („System läuft"); Projekt-/Abschlussarbeit; Industrie: Zertifikate</t>
  </si>
  <si>
    <t>lauffähiges, dokumentiertes KI-/Digital-Twin-/IoT-System; Output: Produkt, Daten, Bericht, Strukturen</t>
  </si>
  <si>
    <t>Transfervalidierung über Folge-Workshops in der Firma</t>
  </si>
  <si>
    <t>Learning Factory + Industriepartner (etabliertes Firmensetup)</t>
  </si>
  <si>
    <t>Strategische Relevanz</t>
  </si>
  <si>
    <t>hoch: Kompetenzsteigerung, Schließen digitaler Brüche, Aufbau digitaler Kompetenzen; KI-Mehrwert = Effizienz</t>
  </si>
  <si>
    <t>Studium (curricular) + Industrie-Workshops/Folge-Workshops als Weiterbildungsangebot</t>
  </si>
  <si>
    <t>Offene Punkte / Hürden: detaillierter Schritt-für-Schritt-Ablauf noch offen; Human-in-the-loop zu spezifizieren; Folien &amp; Skripte in Erstellung; größte Hürden: Anwendbarkeit, Anfälligkeit (Lehrtauglichkeit), Geschwindigkeit der Verarbeitung.</t>
  </si>
  <si>
    <t>Quellen-/Modellbezug: Morphologie nach Abele et al. (Learning Factories, 2017/2024); Kompetenzmodell nach Erpenbeck &amp; Heyse (2007); Lernzieltaxonomie nach Bloom (rev. Anderson &amp; Krathwohl). Datenbasis: Erhebung „Module_Schwarzer".</t>
  </si>
  <si>
    <t>Modulbewertung – Erfüllungsgrad gegen den Kriterienkatalog (Morphologie nach Abele et al.)</t>
  </si>
  <si>
    <t>Modul:</t>
  </si>
  <si>
    <t>Digitaler Zwilling und IoT – KI-gestützte Prozessoptimierung („Schwarzer")</t>
  </si>
  <si>
    <t>Studierende / Fach-/Führungskräfte</t>
  </si>
  <si>
    <t>Indikator / Ausprägung im Modul</t>
  </si>
  <si>
    <t>I.  Zielgruppen &amp; Lerninhalt</t>
  </si>
  <si>
    <t>Hochschulbildung + berufl. Aus-/Weiterbildung + Forschung</t>
  </si>
  <si>
    <t>alle drei Hauptzwecke abgedeckt</t>
  </si>
  <si>
    <t>Zielgruppen Aus-/Weiterbildung</t>
  </si>
  <si>
    <t>Studierende, Fach- und Führungskräfte</t>
  </si>
  <si>
    <t>breite Adressierung + Industrie-Workshops</t>
  </si>
  <si>
    <t>homogen je Niveaustufe</t>
  </si>
  <si>
    <t>klar getrennte Gruppen</t>
  </si>
  <si>
    <t>Industrie 4.0 / IoT / KI / Digital Twin</t>
  </si>
  <si>
    <t>expliziter I4.0-Kern</t>
  </si>
  <si>
    <t>Zwischensumme I</t>
  </si>
  <si>
    <t>erreicht / max. (nur bewertete Kriterien)</t>
  </si>
  <si>
    <t>II.  Didaktik &amp; Kompetenzaufbau</t>
  </si>
  <si>
    <t>Anwenden / Analysieren / Erschaffen</t>
  </si>
  <si>
    <t>hohe Taxonomiestufen erreicht</t>
  </si>
  <si>
    <t>prozedural + konzeptuell + metakognitiv</t>
  </si>
  <si>
    <t>breite Wissensdimension</t>
  </si>
  <si>
    <t>Weichensteller Wandlungsfähigkeit</t>
  </si>
  <si>
    <t>Digitalisierung/KI als Wandlungstreiber</t>
  </si>
  <si>
    <t>schließt digitale Brüche</t>
  </si>
  <si>
    <t>Kompetenzklasse (Erpenbeck)</t>
  </si>
  <si>
    <t>F, A, P, S (technisch/methodisch/sozial)</t>
  </si>
  <si>
    <t>alle vier Klassen adressiert</t>
  </si>
  <si>
    <t>kognitiv + psychomotorisch + affektiv</t>
  </si>
  <si>
    <t>Hands-on + Reflexion KI-Unsicherheit</t>
  </si>
  <si>
    <t>offenes Szenario, echte Problemaufgaben</t>
  </si>
  <si>
    <t>keine reine Technik-Demo</t>
  </si>
  <si>
    <t>selbstgesteuert, Projektleitungsrolle</t>
  </si>
  <si>
    <t>„Chef-Projektleiter"</t>
  </si>
  <si>
    <t>Coach / Lernbegleitung (Cowork)</t>
  </si>
  <si>
    <t>Art der Lernaktivität</t>
  </si>
  <si>
    <t>Projektarbeit / Laborkurs (Hands-on)</t>
  </si>
  <si>
    <t>reproduzierbar/wiederverwendbar; Doku in Entstehung</t>
  </si>
  <si>
    <t>Folien/Skripte noch nicht fertig</t>
  </si>
  <si>
    <t>Feedback + Lernerfolg + Transfer</t>
  </si>
  <si>
    <t>wöchentliche Previews; Transfer in Firma</t>
  </si>
  <si>
    <t>Test/Klausur + Anforderungsliste + Projektarbeit</t>
  </si>
  <si>
    <t>skalierbar über Niveaus (Anfänger–Experte)</t>
  </si>
  <si>
    <t>Human-in-the-loop noch offen</t>
  </si>
  <si>
    <t>Zwischensumme II</t>
  </si>
  <si>
    <t>III.  Prozess- &amp; Produktbezug</t>
  </si>
  <si>
    <t>Produktlebenszyklusphase</t>
  </si>
  <si>
    <t>Produktion (Inspektion/Montage/Demontage)</t>
  </si>
  <si>
    <t>Remanufacturing nicht Kernfokus</t>
  </si>
  <si>
    <t>reale Firmenprozesse, anwendbar/skalierbar</t>
  </si>
  <si>
    <t>IoT-Automatisierung, Roboter, KI-Optimierung</t>
  </si>
  <si>
    <t>hoher Automatisierungsbezug</t>
  </si>
  <si>
    <t>physisch (LF) + cloudbasiert</t>
  </si>
  <si>
    <t>hybride Umgebung</t>
  </si>
  <si>
    <t>Digital Twin, IoT-Sensorik, KI-Bilderkennung, Anomalieerkennung</t>
  </si>
  <si>
    <t>technologischer Kern-USP</t>
  </si>
  <si>
    <t>prozess-/datenorientiert + physische Boards/Sensorik</t>
  </si>
  <si>
    <t>mehrere Szenarien (Lager, Heizen, Bohren, Sortieren, Umschlag)</t>
  </si>
  <si>
    <t>Datenrückführung in reale Fabrik / Ersatzteilbestellung</t>
  </si>
  <si>
    <t>Reman-/Reuse-Bezug nicht primär</t>
  </si>
  <si>
    <t>Zwischensumme III</t>
  </si>
  <si>
    <t>IV.  Wirtschaftlichkeit &amp; Skalierung</t>
  </si>
  <si>
    <t>Learning Factory + Industriepartner</t>
  </si>
  <si>
    <t>etabliertes Firmensetup</t>
  </si>
  <si>
    <t>vorhandene Modelle/Infrastruktur</t>
  </si>
  <si>
    <t>keine expliziten Angaben</t>
  </si>
  <si>
    <t>Studium + Industrie-Workshops</t>
  </si>
  <si>
    <t>Geschäftsmodell teils offen</t>
  </si>
  <si>
    <t>curricular + Zertifikatskurse/Folge-Workshops</t>
  </si>
  <si>
    <t>Industriepartner (Firmensetup)</t>
  </si>
  <si>
    <t>Transfer über Folge-Workshops</t>
  </si>
  <si>
    <t>Teilnehmende pro Modul</t>
  </si>
  <si>
    <t>Studierende 10–15; Fach-/Führungskräfte 5</t>
  </si>
  <si>
    <t>definierte Kapazität</t>
  </si>
  <si>
    <t>Standardisierung Lernmodule</t>
  </si>
  <si>
    <t>reproduzierbar (bereits erprobt)</t>
  </si>
  <si>
    <t>Integration der Lernmodule</t>
  </si>
  <si>
    <t>eigenständig + integrierbar, offene Schnittstellen</t>
  </si>
  <si>
    <t>Durchschnittsdauer</t>
  </si>
  <si>
    <t>projekt-/semesterbegleitend; Schritt-Ablauf offen</t>
  </si>
  <si>
    <t>Dauer nicht fix definiert</t>
  </si>
  <si>
    <t>Boards, Sensorik, Roboter, Kameras, Cloud/ThingWorx</t>
  </si>
  <si>
    <t>n.r.</t>
  </si>
  <si>
    <t>keine Kostenangaben in Erhebung</t>
  </si>
  <si>
    <t>keine Angabe</t>
  </si>
  <si>
    <t>Zwischensumme IV</t>
  </si>
  <si>
    <t>Hinweis: 'n.r.' schließt ein Kriterium aus der Wertung aus (zählt weder im Zähler noch im Nenner). Erfüllungsgrad = erreichte Punkte / (2 × Anzahl bewerteter Kriterien).</t>
  </si>
  <si>
    <t>01_LF_Modul_Prof_Schwarzer_DT_IoT_KI</t>
  </si>
  <si>
    <t>Modulverantwortung: Prof. Schwarzer</t>
  </si>
  <si>
    <t xml:space="preserve">n. r. </t>
  </si>
  <si>
    <t xml:space="preserve">Skala:  </t>
  </si>
  <si>
    <t>erfüllt = 2</t>
  </si>
  <si>
    <t xml:space="preserve">teilweise = 1   </t>
  </si>
  <si>
    <t xml:space="preserve">nicht erfüllt = 0   </t>
  </si>
  <si>
    <t>n.r. = nicht relevant (aus Wertung ausgeschlossen)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</si>
</sst>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"/>
  </numFmts>
  <fonts count="40" x14ac:knownFonts="1">
    <font>
      <sz val="11"/>
      <color theme="1"/>
      <name val="Aptos Narrow"/>
      <family val="2"/>
      <charset val="1"/>
    </font>
    <font>
      <sz val="11"/>
      <color theme="1"/>
      <name val="Calibri"/>
      <family val="2"/>
      <charset val="1"/>
    </font>
    <font>
      <b/>
      <sz val="12"/>
      <color theme="1"/>
      <name val="Arial"/>
      <family val="2"/>
      <charset val="1"/>
    </font>
    <font>
      <sz val="11"/>
      <color theme="1"/>
      <name val="Arial"/>
      <family val="2"/>
      <charset val="1"/>
    </font>
    <font>
      <sz val="9"/>
      <name val="Arial"/>
      <family val="2"/>
      <charset val="1"/>
    </font>
    <font>
      <b/>
      <sz val="11"/>
      <color theme="1"/>
      <name val="Arial"/>
      <family val="2"/>
      <charset val="1"/>
    </font>
    <font>
      <sz val="11"/>
      <name val="Calibri"/>
      <family val="2"/>
      <charset val="1"/>
    </font>
    <font>
      <b/>
      <sz val="14"/>
      <name val="Arial"/>
      <family val="2"/>
      <charset val="1"/>
    </font>
    <font>
      <sz val="9.5"/>
      <name val="Arial"/>
      <family val="2"/>
      <charset val="1"/>
    </font>
    <font>
      <b/>
      <sz val="9"/>
      <name val="Arial"/>
      <family val="2"/>
      <charset val="1"/>
    </font>
    <font>
      <b/>
      <sz val="10"/>
      <name val="Arial"/>
      <family val="2"/>
      <charset val="1"/>
    </font>
    <font>
      <i/>
      <sz val="8.5"/>
      <name val="Arial"/>
      <family val="2"/>
      <charset val="1"/>
    </font>
    <font>
      <sz val="11"/>
      <name val="Aptos Narrow"/>
      <family val="2"/>
      <charset val="1"/>
    </font>
    <font>
      <b/>
      <sz val="9.5"/>
      <name val="Arial"/>
      <family val="2"/>
      <charset val="1"/>
    </font>
    <font>
      <sz val="10"/>
      <name val="Arial"/>
      <family val="2"/>
      <charset val="1"/>
    </font>
    <font>
      <sz val="12"/>
      <color theme="1"/>
      <name val="Arial"/>
      <family val="2"/>
      <charset val="1"/>
    </font>
    <font>
      <b/>
      <sz val="22"/>
      <color theme="1"/>
      <name val="Arial"/>
      <family val="2"/>
      <charset val="1"/>
    </font>
    <font>
      <sz val="14"/>
      <color theme="1"/>
      <name val="Arial"/>
      <family val="2"/>
      <charset val="1"/>
    </font>
    <font>
      <i/>
      <sz val="9"/>
      <color theme="1"/>
      <name val="Arial"/>
      <family val="2"/>
      <charset val="1"/>
    </font>
    <font>
      <b/>
      <sz val="20"/>
      <color theme="1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1A1A1A"/>
      <name val="Arial"/>
      <family val="2"/>
      <charset val="1"/>
    </font>
    <font>
      <sz val="11"/>
      <color rgb="FF1A1A1A"/>
      <name val="Arial"/>
      <family val="2"/>
      <charset val="1"/>
    </font>
    <font>
      <sz val="11"/>
      <color rgb="FF2B3A22"/>
      <name val="Arial"/>
      <family val="2"/>
      <charset val="1"/>
    </font>
    <font>
      <b/>
      <sz val="14"/>
      <color theme="1"/>
      <name val="Arial"/>
      <family val="2"/>
      <charset val="1"/>
    </font>
    <font>
      <sz val="8.5"/>
      <name val="Arial"/>
      <family val="2"/>
      <charset val="1"/>
    </font>
    <font>
      <b/>
      <sz val="12"/>
      <name val="Arial"/>
      <family val="2"/>
      <charset val="1"/>
    </font>
    <font>
      <sz val="10"/>
      <name val="Calibri"/>
      <family val="2"/>
      <charset val="1"/>
    </font>
    <font>
      <b/>
      <sz val="11"/>
      <color theme="1"/>
      <name val="Aptos Narrow"/>
      <family val="2"/>
      <charset val="1"/>
    </font>
    <font>
      <b/>
      <sz val="14"/>
      <color rgb="FFFFFFFF"/>
      <name val="Arial"/>
      <family val="2"/>
    </font>
    <font>
      <i/>
      <sz val="10"/>
      <color rgb="FF404040"/>
      <name val="Arial"/>
      <family val="2"/>
    </font>
    <font>
      <b/>
      <sz val="11"/>
      <color rgb="FF1F386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9"/>
      <color rgb="FF808080"/>
      <name val="Arial"/>
      <family val="2"/>
    </font>
    <font>
      <b/>
      <sz val="12"/>
      <color rgb="FFFFFFFF"/>
      <name val="Arial"/>
      <family val="2"/>
    </font>
    <font>
      <sz val="10"/>
      <name val="Arial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b/>
      <i/>
      <sz val="1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theme="2"/>
        <bgColor rgb="FFEDE7F3"/>
      </patternFill>
    </fill>
    <fill>
      <patternFill patternType="solid">
        <fgColor theme="8" tint="0.39979247413556324"/>
        <bgColor rgb="FFFF7474"/>
      </patternFill>
    </fill>
    <fill>
      <patternFill patternType="solid">
        <fgColor theme="8" tint="0.59978026673177287"/>
        <bgColor rgb="FFF2AA84"/>
      </patternFill>
    </fill>
    <fill>
      <patternFill patternType="solid">
        <fgColor theme="8" tint="0.79979857783745845"/>
        <bgColor rgb="FFD9D9D9"/>
      </patternFill>
    </fill>
    <fill>
      <patternFill patternType="solid">
        <fgColor rgb="FFFFFFFF"/>
        <bgColor rgb="FFFFFDE7"/>
      </patternFill>
    </fill>
    <fill>
      <patternFill patternType="solid">
        <fgColor theme="2" tint="-9.9978637043366805E-2"/>
        <bgColor rgb="FFC7D2DD"/>
      </patternFill>
    </fill>
    <fill>
      <patternFill patternType="solid">
        <fgColor rgb="FF92D050"/>
        <bgColor rgb="FF8ED973"/>
      </patternFill>
    </fill>
    <fill>
      <patternFill patternType="solid">
        <fgColor theme="0" tint="-0.14999847407452621"/>
        <bgColor rgb="FFD1D1D1"/>
      </patternFill>
    </fill>
    <fill>
      <patternFill patternType="solid">
        <fgColor theme="7" tint="0.39979247413556324"/>
        <bgColor rgb="FFA6CAEC"/>
      </patternFill>
    </fill>
    <fill>
      <patternFill patternType="solid">
        <fgColor rgb="FF66FFFF"/>
        <bgColor rgb="FF61CBF4"/>
      </patternFill>
    </fill>
    <fill>
      <patternFill patternType="solid">
        <fgColor rgb="FF00B050"/>
        <bgColor rgb="FF008080"/>
      </patternFill>
    </fill>
    <fill>
      <patternFill patternType="solid">
        <fgColor rgb="FFEDE7F3"/>
        <bgColor rgb="FFE8E8E8"/>
      </patternFill>
    </fill>
    <fill>
      <patternFill patternType="solid">
        <fgColor rgb="FFC9E5C2"/>
        <bgColor rgb="FFD9F2D0"/>
      </patternFill>
    </fill>
    <fill>
      <patternFill patternType="solid">
        <fgColor rgb="FFE8F0E4"/>
        <bgColor rgb="FFE8E8E8"/>
      </patternFill>
    </fill>
    <fill>
      <patternFill patternType="solid">
        <fgColor theme="3" tint="0.74977874080629903"/>
        <bgColor rgb="FFC5D3FF"/>
      </patternFill>
    </fill>
    <fill>
      <patternFill patternType="solid">
        <fgColor theme="3" tint="0.89989928891872917"/>
        <bgColor rgb="FFDCE6EF"/>
      </patternFill>
    </fill>
    <fill>
      <patternFill patternType="solid">
        <fgColor rgb="FFFF7474"/>
        <bgColor rgb="FFD86ECC"/>
      </patternFill>
    </fill>
    <fill>
      <patternFill patternType="solid">
        <fgColor rgb="FFC5D3FF"/>
        <bgColor rgb="FFC7D2DD"/>
      </patternFill>
    </fill>
    <fill>
      <patternFill patternType="solid">
        <fgColor theme="9" tint="0.79979857783745845"/>
        <bgColor rgb="FFE8F0E4"/>
      </patternFill>
    </fill>
    <fill>
      <patternFill patternType="solid">
        <fgColor theme="5" tint="0.59978026673177287"/>
        <bgColor rgb="FFF2CFEE"/>
      </patternFill>
    </fill>
    <fill>
      <patternFill patternType="solid">
        <fgColor theme="6" tint="0.59978026673177287"/>
        <bgColor rgb="FF8ED973"/>
      </patternFill>
    </fill>
    <fill>
      <patternFill patternType="solid">
        <fgColor theme="9" tint="0.39979247413556324"/>
        <bgColor rgb="FF84E291"/>
      </patternFill>
    </fill>
    <fill>
      <patternFill patternType="solid">
        <fgColor theme="3" tint="0.49977111117893003"/>
        <bgColor rgb="FF4472C4"/>
      </patternFill>
    </fill>
    <fill>
      <patternFill patternType="solid">
        <fgColor rgb="FFDCE6EF"/>
        <bgColor rgb="FFDCEAF7"/>
      </patternFill>
    </fill>
    <fill>
      <patternFill patternType="solid">
        <fgColor rgb="FFFFFDE7"/>
        <bgColor rgb="FFFFFFFF"/>
      </patternFill>
    </fill>
    <fill>
      <patternFill patternType="solid">
        <fgColor rgb="FF4472C4"/>
        <bgColor rgb="FF4E95D9"/>
      </patternFill>
    </fill>
    <fill>
      <patternFill patternType="solid">
        <fgColor rgb="FFF2F2F2"/>
        <bgColor rgb="FFE8F0E4"/>
      </patternFill>
    </fill>
  </fills>
  <borders count="41">
    <border>
      <left/>
      <right/>
      <top/>
      <bottom/>
      <diagonal/>
    </border>
    <border>
      <left style="thin">
        <color rgb="FFC7D2DD"/>
      </left>
      <right style="thin">
        <color rgb="FFC7D2DD"/>
      </right>
      <top style="thin">
        <color rgb="FFC7D2DD"/>
      </top>
      <bottom style="thin">
        <color rgb="FFC7D2D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7D2DD"/>
      </left>
      <right/>
      <top style="thin">
        <color rgb="FFC7D2DD"/>
      </top>
      <bottom style="thin">
        <color rgb="FFC7D2DD"/>
      </bottom>
      <diagonal/>
    </border>
    <border>
      <left/>
      <right/>
      <top/>
      <bottom style="thin">
        <color rgb="FFC7D2DD"/>
      </bottom>
      <diagonal/>
    </border>
    <border>
      <left/>
      <right/>
      <top style="thin">
        <color rgb="FFC7D2DD"/>
      </top>
      <bottom style="thin">
        <color rgb="FFC7D2DD"/>
      </bottom>
      <diagonal/>
    </border>
    <border>
      <left/>
      <right/>
      <top style="thin">
        <color rgb="FFC7D2DD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C7D2DD"/>
      </left>
      <right/>
      <top style="thin">
        <color rgb="FFC7D2DD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C7D2DD"/>
      </left>
      <right/>
      <top/>
      <bottom style="thin">
        <color rgb="FFC7D2DD"/>
      </bottom>
      <diagonal/>
    </border>
    <border>
      <left style="medium">
        <color auto="1"/>
      </left>
      <right style="thin">
        <color rgb="FFC7D2DD"/>
      </right>
      <top style="medium">
        <color auto="1"/>
      </top>
      <bottom style="thin">
        <color rgb="FFC7D2DD"/>
      </bottom>
      <diagonal/>
    </border>
    <border>
      <left style="thin">
        <color rgb="FFC7D2DD"/>
      </left>
      <right style="thin">
        <color rgb="FFC7D2DD"/>
      </right>
      <top style="medium">
        <color auto="1"/>
      </top>
      <bottom style="thin">
        <color rgb="FFC7D2DD"/>
      </bottom>
      <diagonal/>
    </border>
    <border>
      <left style="thin">
        <color rgb="FFC7D2DD"/>
      </left>
      <right style="medium">
        <color auto="1"/>
      </right>
      <top style="medium">
        <color auto="1"/>
      </top>
      <bottom style="thin">
        <color rgb="FFC7D2DD"/>
      </bottom>
      <diagonal/>
    </border>
    <border>
      <left style="medium">
        <color auto="1"/>
      </left>
      <right/>
      <top style="thin">
        <color rgb="FFC7D2DD"/>
      </top>
      <bottom/>
      <diagonal/>
    </border>
    <border>
      <left style="thin">
        <color rgb="FFC7D2DD"/>
      </left>
      <right style="medium">
        <color auto="1"/>
      </right>
      <top style="thin">
        <color rgb="FFC7D2DD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rgb="FFC7D2DD"/>
      </bottom>
      <diagonal/>
    </border>
    <border>
      <left style="medium">
        <color auto="1"/>
      </left>
      <right style="thin">
        <color rgb="FFC7D2DD"/>
      </right>
      <top style="thin">
        <color rgb="FFC7D2DD"/>
      </top>
      <bottom style="thin">
        <color rgb="FFC7D2DD"/>
      </bottom>
      <diagonal/>
    </border>
    <border>
      <left style="thin">
        <color rgb="FFC7D2DD"/>
      </left>
      <right style="medium">
        <color auto="1"/>
      </right>
      <top style="thin">
        <color rgb="FFC7D2DD"/>
      </top>
      <bottom style="thin">
        <color rgb="FFC7D2DD"/>
      </bottom>
      <diagonal/>
    </border>
    <border>
      <left style="medium">
        <color auto="1"/>
      </left>
      <right style="thin">
        <color rgb="FFC7D2DD"/>
      </right>
      <top style="thin">
        <color rgb="FFC7D2DD"/>
      </top>
      <bottom style="medium">
        <color auto="1"/>
      </bottom>
      <diagonal/>
    </border>
    <border>
      <left style="thin">
        <color rgb="FFC7D2DD"/>
      </left>
      <right style="thin">
        <color rgb="FFC7D2DD"/>
      </right>
      <top style="thin">
        <color rgb="FFC7D2DD"/>
      </top>
      <bottom style="medium">
        <color auto="1"/>
      </bottom>
      <diagonal/>
    </border>
    <border>
      <left style="thin">
        <color rgb="FFC7D2DD"/>
      </left>
      <right style="medium">
        <color auto="1"/>
      </right>
      <top style="thin">
        <color rgb="FFC7D2DD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rgb="FFC7D2DD"/>
      </left>
      <right/>
      <top/>
      <bottom/>
      <diagonal/>
    </border>
    <border>
      <left style="thin">
        <color rgb="FFC7D2DD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rgb="FFC7D2DD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0" borderId="0"/>
  </cellStyleXfs>
  <cellXfs count="198">
    <xf numFmtId="0" fontId="0" fillId="0" borderId="0" xfId="0"/>
    <xf numFmtId="0" fontId="0" fillId="0" borderId="3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28" fillId="0" borderId="31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6" fillId="0" borderId="0" xfId="1" applyFont="1" applyAlignment="1">
      <alignment vertical="center"/>
    </xf>
    <xf numFmtId="0" fontId="9" fillId="4" borderId="1" xfId="1" applyFont="1" applyFill="1" applyBorder="1" applyAlignment="1">
      <alignment horizontal="left" vertical="center" wrapText="1"/>
    </xf>
    <xf numFmtId="0" fontId="9" fillId="4" borderId="1" xfId="1" applyFont="1" applyFill="1" applyBorder="1" applyAlignment="1">
      <alignment horizontal="center" vertical="center" wrapText="1"/>
    </xf>
    <xf numFmtId="0" fontId="9" fillId="5" borderId="1" xfId="1" applyFont="1" applyFill="1" applyBorder="1" applyAlignment="1">
      <alignment horizontal="left" vertical="center" wrapText="1"/>
    </xf>
    <xf numFmtId="0" fontId="4" fillId="6" borderId="1" xfId="1" applyFont="1" applyFill="1" applyBorder="1" applyAlignment="1">
      <alignment horizontal="center" vertical="center" wrapText="1"/>
    </xf>
    <xf numFmtId="0" fontId="9" fillId="5" borderId="4" xfId="1" applyFont="1" applyFill="1" applyBorder="1" applyAlignment="1">
      <alignment horizontal="left" vertical="center" wrapText="1"/>
    </xf>
    <xf numFmtId="0" fontId="4" fillId="7" borderId="1" xfId="1" applyFont="1" applyFill="1" applyBorder="1" applyAlignment="1">
      <alignment horizontal="center" vertical="center" wrapText="1"/>
    </xf>
    <xf numFmtId="0" fontId="9" fillId="5" borderId="5" xfId="1" applyFont="1" applyFill="1" applyBorder="1" applyAlignment="1">
      <alignment horizontal="left" vertical="center" wrapText="1"/>
    </xf>
    <xf numFmtId="0" fontId="9" fillId="5" borderId="6" xfId="1" applyFont="1" applyFill="1" applyBorder="1" applyAlignment="1">
      <alignment horizontal="left" vertical="center" wrapText="1"/>
    </xf>
    <xf numFmtId="0" fontId="10" fillId="8" borderId="2" xfId="0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5" fillId="9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6" fillId="0" borderId="0" xfId="1" applyFont="1"/>
    <xf numFmtId="0" fontId="9" fillId="3" borderId="1" xfId="1" applyFont="1" applyFill="1" applyBorder="1" applyAlignment="1">
      <alignment horizontal="center" vertical="center" wrapText="1"/>
    </xf>
    <xf numFmtId="0" fontId="9" fillId="12" borderId="1" xfId="1" applyFont="1" applyFill="1" applyBorder="1" applyAlignment="1">
      <alignment horizontal="center" vertical="center" wrapText="1"/>
    </xf>
    <xf numFmtId="0" fontId="13" fillId="13" borderId="1" xfId="1" applyFont="1" applyFill="1" applyBorder="1" applyAlignment="1">
      <alignment horizontal="left" vertical="center" wrapText="1"/>
    </xf>
    <xf numFmtId="0" fontId="10" fillId="14" borderId="1" xfId="1" applyFont="1" applyFill="1" applyBorder="1" applyAlignment="1">
      <alignment horizontal="center" vertical="center" wrapText="1"/>
    </xf>
    <xf numFmtId="0" fontId="14" fillId="6" borderId="1" xfId="1" applyFont="1" applyFill="1" applyBorder="1" applyAlignment="1">
      <alignment horizontal="center" vertical="center" wrapText="1"/>
    </xf>
    <xf numFmtId="0" fontId="14" fillId="7" borderId="1" xfId="1" applyFont="1" applyFill="1" applyBorder="1" applyAlignment="1">
      <alignment horizontal="center" vertical="center" wrapText="1"/>
    </xf>
    <xf numFmtId="0" fontId="14" fillId="15" borderId="1" xfId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7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2" fillId="17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left" vertical="center" wrapText="1"/>
    </xf>
    <xf numFmtId="0" fontId="2" fillId="17" borderId="2" xfId="0" applyFont="1" applyFill="1" applyBorder="1" applyAlignment="1">
      <alignment vertical="center" wrapText="1"/>
    </xf>
    <xf numFmtId="0" fontId="17" fillId="0" borderId="0" xfId="0" applyFont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0" fillId="0" borderId="9" xfId="0" applyBorder="1"/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15" fillId="0" borderId="0" xfId="0" applyFont="1"/>
    <xf numFmtId="164" fontId="5" fillId="9" borderId="2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vertical="center" wrapText="1"/>
    </xf>
    <xf numFmtId="49" fontId="5" fillId="9" borderId="2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0" fillId="9" borderId="2" xfId="0" applyFont="1" applyFill="1" applyBorder="1" applyAlignment="1">
      <alignment horizontal="center" vertical="center" wrapText="1"/>
    </xf>
    <xf numFmtId="0" fontId="21" fillId="9" borderId="2" xfId="0" applyFont="1" applyFill="1" applyBorder="1" applyAlignment="1">
      <alignment horizontal="center" vertical="center" wrapText="1"/>
    </xf>
    <xf numFmtId="0" fontId="22" fillId="9" borderId="2" xfId="0" applyFont="1" applyFill="1" applyBorder="1" applyAlignment="1">
      <alignment horizontal="center" vertical="center" wrapText="1"/>
    </xf>
    <xf numFmtId="0" fontId="23" fillId="9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24" fillId="17" borderId="2" xfId="0" applyFont="1" applyFill="1" applyBorder="1" applyAlignment="1">
      <alignment horizontal="center" vertical="center" wrapText="1"/>
    </xf>
    <xf numFmtId="0" fontId="3" fillId="18" borderId="2" xfId="0" applyFont="1" applyFill="1" applyBorder="1" applyAlignment="1">
      <alignment horizontal="center" vertical="center" wrapText="1"/>
    </xf>
    <xf numFmtId="0" fontId="5" fillId="18" borderId="2" xfId="0" applyFont="1" applyFill="1" applyBorder="1" applyAlignment="1">
      <alignment horizontal="center" vertical="center" wrapText="1"/>
    </xf>
    <xf numFmtId="0" fontId="3" fillId="18" borderId="2" xfId="0" applyFont="1" applyFill="1" applyBorder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10" fillId="19" borderId="11" xfId="1" applyFont="1" applyFill="1" applyBorder="1" applyAlignment="1">
      <alignment horizontal="center" vertical="center" wrapText="1"/>
    </xf>
    <xf numFmtId="0" fontId="14" fillId="19" borderId="12" xfId="1" applyFont="1" applyFill="1" applyBorder="1" applyAlignment="1">
      <alignment horizontal="left" vertical="center" wrapText="1"/>
    </xf>
    <xf numFmtId="0" fontId="14" fillId="19" borderId="13" xfId="1" applyFont="1" applyFill="1" applyBorder="1" applyAlignment="1">
      <alignment horizontal="left" vertical="center" wrapText="1"/>
    </xf>
    <xf numFmtId="0" fontId="6" fillId="0" borderId="0" xfId="1" applyFont="1" applyAlignment="1">
      <alignment horizontal="center" vertical="center"/>
    </xf>
    <xf numFmtId="0" fontId="9" fillId="0" borderId="10" xfId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3" fillId="8" borderId="15" xfId="1" applyFont="1" applyFill="1" applyBorder="1" applyAlignment="1">
      <alignment horizontal="center" vertical="center" wrapText="1"/>
    </xf>
    <xf numFmtId="0" fontId="13" fillId="8" borderId="16" xfId="1" applyFont="1" applyFill="1" applyBorder="1" applyAlignment="1">
      <alignment horizontal="left" vertical="center" wrapText="1"/>
    </xf>
    <xf numFmtId="0" fontId="13" fillId="8" borderId="16" xfId="1" applyFont="1" applyFill="1" applyBorder="1" applyAlignment="1">
      <alignment horizontal="center" vertical="center" wrapText="1"/>
    </xf>
    <xf numFmtId="0" fontId="13" fillId="8" borderId="17" xfId="1" applyFont="1" applyFill="1" applyBorder="1" applyAlignment="1">
      <alignment horizontal="left" vertical="center" wrapText="1"/>
    </xf>
    <xf numFmtId="0" fontId="13" fillId="0" borderId="18" xfId="1" applyFont="1" applyBorder="1" applyAlignment="1">
      <alignment horizontal="center" vertical="center" wrapText="1"/>
    </xf>
    <xf numFmtId="0" fontId="13" fillId="0" borderId="10" xfId="1" applyFont="1" applyBorder="1" applyAlignment="1">
      <alignment horizontal="left" vertical="center" wrapText="1"/>
    </xf>
    <xf numFmtId="0" fontId="13" fillId="0" borderId="10" xfId="1" applyFont="1" applyBorder="1" applyAlignment="1">
      <alignment horizontal="center" vertical="center" wrapText="1"/>
    </xf>
    <xf numFmtId="0" fontId="13" fillId="0" borderId="19" xfId="1" applyFont="1" applyBorder="1" applyAlignment="1">
      <alignment horizontal="left" vertical="center" wrapText="1"/>
    </xf>
    <xf numFmtId="0" fontId="10" fillId="0" borderId="21" xfId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0" fontId="14" fillId="21" borderId="1" xfId="1" applyFont="1" applyFill="1" applyBorder="1" applyAlignment="1">
      <alignment horizontal="center" vertical="center" wrapText="1"/>
    </xf>
    <xf numFmtId="0" fontId="14" fillId="0" borderId="22" xfId="1" applyFont="1" applyBorder="1" applyAlignment="1">
      <alignment horizontal="left" vertical="center" wrapText="1"/>
    </xf>
    <xf numFmtId="0" fontId="10" fillId="2" borderId="21" xfId="1" applyFont="1" applyFill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left" vertical="center" wrapText="1"/>
    </xf>
    <xf numFmtId="0" fontId="14" fillId="2" borderId="22" xfId="1" applyFont="1" applyFill="1" applyBorder="1" applyAlignment="1">
      <alignment horizontal="left" vertical="center" wrapText="1"/>
    </xf>
    <xf numFmtId="0" fontId="14" fillId="0" borderId="23" xfId="1" applyFont="1" applyBorder="1" applyAlignment="1">
      <alignment horizontal="left" vertical="center" wrapText="1"/>
    </xf>
    <xf numFmtId="0" fontId="10" fillId="22" borderId="24" xfId="1" applyFont="1" applyFill="1" applyBorder="1" applyAlignment="1">
      <alignment horizontal="left" vertical="center" wrapText="1"/>
    </xf>
    <xf numFmtId="0" fontId="25" fillId="0" borderId="24" xfId="1" applyFont="1" applyBorder="1" applyAlignment="1">
      <alignment horizontal="center" vertical="center" wrapText="1"/>
    </xf>
    <xf numFmtId="0" fontId="14" fillId="0" borderId="24" xfId="1" applyFont="1" applyBorder="1" applyAlignment="1">
      <alignment horizontal="left" vertical="center" wrapText="1"/>
    </xf>
    <xf numFmtId="9" fontId="10" fillId="21" borderId="24" xfId="1" applyNumberFormat="1" applyFont="1" applyFill="1" applyBorder="1" applyAlignment="1">
      <alignment horizontal="center" vertical="center" wrapText="1"/>
    </xf>
    <xf numFmtId="0" fontId="14" fillId="0" borderId="25" xfId="1" applyFont="1" applyBorder="1" applyAlignment="1">
      <alignment horizontal="left" vertical="center" wrapText="1"/>
    </xf>
    <xf numFmtId="0" fontId="14" fillId="0" borderId="26" xfId="1" applyFont="1" applyBorder="1" applyAlignment="1">
      <alignment horizontal="left" vertical="center" wrapText="1"/>
    </xf>
    <xf numFmtId="0" fontId="10" fillId="0" borderId="27" xfId="1" applyFont="1" applyBorder="1" applyAlignment="1">
      <alignment horizontal="left" vertical="center" wrapText="1"/>
    </xf>
    <xf numFmtId="0" fontId="25" fillId="0" borderId="27" xfId="1" applyFont="1" applyBorder="1" applyAlignment="1">
      <alignment horizontal="left" vertical="center" wrapText="1"/>
    </xf>
    <xf numFmtId="0" fontId="14" fillId="0" borderId="27" xfId="1" applyFont="1" applyBorder="1" applyAlignment="1">
      <alignment horizontal="left" vertical="center" wrapText="1"/>
    </xf>
    <xf numFmtId="9" fontId="10" fillId="0" borderId="27" xfId="1" applyNumberFormat="1" applyFont="1" applyBorder="1" applyAlignment="1">
      <alignment horizontal="center" vertical="center" wrapText="1"/>
    </xf>
    <xf numFmtId="0" fontId="14" fillId="0" borderId="28" xfId="1" applyFont="1" applyBorder="1" applyAlignment="1">
      <alignment horizontal="left" vertical="center" wrapText="1"/>
    </xf>
    <xf numFmtId="0" fontId="25" fillId="22" borderId="24" xfId="1" applyFont="1" applyFill="1" applyBorder="1" applyAlignment="1">
      <alignment horizontal="center" vertical="center" wrapText="1"/>
    </xf>
    <xf numFmtId="0" fontId="14" fillId="22" borderId="24" xfId="1" applyFont="1" applyFill="1" applyBorder="1" applyAlignment="1">
      <alignment horizontal="left" vertical="center" wrapText="1"/>
    </xf>
    <xf numFmtId="9" fontId="10" fillId="22" borderId="24" xfId="1" applyNumberFormat="1" applyFont="1" applyFill="1" applyBorder="1" applyAlignment="1">
      <alignment horizontal="center" vertical="center" wrapText="1"/>
    </xf>
    <xf numFmtId="0" fontId="14" fillId="22" borderId="25" xfId="1" applyFont="1" applyFill="1" applyBorder="1" applyAlignment="1">
      <alignment horizontal="left" vertical="center" wrapText="1"/>
    </xf>
    <xf numFmtId="0" fontId="6" fillId="0" borderId="26" xfId="1" applyFont="1" applyBorder="1" applyAlignment="1">
      <alignment vertical="center"/>
    </xf>
    <xf numFmtId="0" fontId="6" fillId="0" borderId="29" xfId="1" applyFont="1" applyBorder="1" applyAlignment="1">
      <alignment vertical="center"/>
    </xf>
    <xf numFmtId="9" fontId="26" fillId="0" borderId="24" xfId="1" applyNumberFormat="1" applyFont="1" applyBorder="1" applyAlignment="1">
      <alignment horizontal="center" vertical="center" wrapText="1"/>
    </xf>
    <xf numFmtId="0" fontId="13" fillId="25" borderId="1" xfId="1" applyFont="1" applyFill="1" applyBorder="1" applyAlignment="1">
      <alignment horizontal="left" vertical="center" wrapText="1"/>
    </xf>
    <xf numFmtId="0" fontId="8" fillId="26" borderId="1" xfId="1" applyFont="1" applyFill="1" applyBorder="1" applyAlignment="1">
      <alignment horizontal="left" vertical="center" wrapText="1"/>
    </xf>
    <xf numFmtId="0" fontId="27" fillId="0" borderId="0" xfId="1" applyFont="1" applyAlignment="1">
      <alignment vertical="center" wrapText="1"/>
    </xf>
    <xf numFmtId="0" fontId="13" fillId="15" borderId="1" xfId="1" applyFont="1" applyFill="1" applyBorder="1" applyAlignment="1">
      <alignment horizontal="left" vertical="center" wrapText="1"/>
    </xf>
    <xf numFmtId="0" fontId="6" fillId="0" borderId="0" xfId="1" applyFont="1" applyAlignment="1">
      <alignment vertical="center" wrapText="1"/>
    </xf>
    <xf numFmtId="49" fontId="6" fillId="0" borderId="0" xfId="1" applyNumberFormat="1" applyFont="1" applyAlignment="1">
      <alignment vertical="center"/>
    </xf>
    <xf numFmtId="0" fontId="22" fillId="0" borderId="0" xfId="0" applyFont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28" fillId="0" borderId="31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32" xfId="0" applyFont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 wrapText="1"/>
    </xf>
    <xf numFmtId="0" fontId="28" fillId="0" borderId="34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1" fillId="25" borderId="0" xfId="0" applyFont="1" applyFill="1" applyAlignment="1">
      <alignment vertical="center"/>
    </xf>
    <xf numFmtId="0" fontId="0" fillId="25" borderId="0" xfId="0" applyFill="1"/>
    <xf numFmtId="0" fontId="32" fillId="0" borderId="40" xfId="0" applyFont="1" applyBorder="1" applyAlignment="1">
      <alignment vertical="top" wrapText="1"/>
    </xf>
    <xf numFmtId="0" fontId="33" fillId="0" borderId="40" xfId="0" applyFont="1" applyBorder="1" applyAlignment="1">
      <alignment vertical="top" wrapText="1"/>
    </xf>
    <xf numFmtId="0" fontId="34" fillId="0" borderId="40" xfId="0" applyFont="1" applyBorder="1" applyAlignment="1">
      <alignment vertical="top" wrapText="1"/>
    </xf>
    <xf numFmtId="0" fontId="32" fillId="0" borderId="0" xfId="0" applyFont="1"/>
    <xf numFmtId="0" fontId="36" fillId="0" borderId="0" xfId="0" applyFont="1"/>
    <xf numFmtId="0" fontId="38" fillId="8" borderId="40" xfId="0" applyFont="1" applyFill="1" applyBorder="1" applyAlignment="1">
      <alignment horizontal="center" vertical="center"/>
    </xf>
    <xf numFmtId="0" fontId="36" fillId="0" borderId="40" xfId="0" applyFont="1" applyBorder="1" applyAlignment="1">
      <alignment vertical="top" wrapText="1"/>
    </xf>
    <xf numFmtId="0" fontId="36" fillId="0" borderId="40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37" fillId="0" borderId="40" xfId="0" applyFont="1" applyBorder="1" applyAlignment="1">
      <alignment vertical="top" wrapText="1"/>
    </xf>
    <xf numFmtId="0" fontId="0" fillId="28" borderId="40" xfId="0" applyFill="1" applyBorder="1"/>
    <xf numFmtId="0" fontId="39" fillId="28" borderId="40" xfId="0" applyFont="1" applyFill="1" applyBorder="1"/>
    <xf numFmtId="0" fontId="37" fillId="28" borderId="40" xfId="0" applyFont="1" applyFill="1" applyBorder="1"/>
    <xf numFmtId="9" fontId="32" fillId="28" borderId="40" xfId="0" applyNumberFormat="1" applyFont="1" applyFill="1" applyBorder="1" applyAlignment="1">
      <alignment horizontal="center" vertical="center"/>
    </xf>
    <xf numFmtId="9" fontId="35" fillId="8" borderId="40" xfId="0" applyNumberFormat="1" applyFont="1" applyFill="1" applyBorder="1" applyAlignment="1">
      <alignment horizontal="center" vertical="center"/>
    </xf>
    <xf numFmtId="0" fontId="0" fillId="8" borderId="40" xfId="0" applyFill="1" applyBorder="1"/>
    <xf numFmtId="49" fontId="0" fillId="0" borderId="9" xfId="0" applyNumberFormat="1" applyBorder="1" applyAlignment="1">
      <alignment horizontal="center" vertical="center" wrapText="1"/>
    </xf>
    <xf numFmtId="0" fontId="7" fillId="3" borderId="3" xfId="1" applyFont="1" applyFill="1" applyBorder="1" applyAlignment="1">
      <alignment horizontal="left" vertical="center" wrapText="1"/>
    </xf>
    <xf numFmtId="0" fontId="8" fillId="0" borderId="3" xfId="1" applyFont="1" applyBorder="1" applyAlignment="1">
      <alignment horizontal="left" vertical="center" wrapText="1"/>
    </xf>
    <xf numFmtId="0" fontId="10" fillId="4" borderId="1" xfId="1" applyFont="1" applyFill="1" applyBorder="1" applyAlignment="1">
      <alignment horizontal="left" vertical="center" wrapText="1"/>
    </xf>
    <xf numFmtId="0" fontId="4" fillId="6" borderId="3" xfId="1" applyFont="1" applyFill="1" applyBorder="1" applyAlignment="1">
      <alignment horizontal="center" vertical="center" wrapText="1"/>
    </xf>
    <xf numFmtId="0" fontId="4" fillId="7" borderId="3" xfId="1" applyFont="1" applyFill="1" applyBorder="1" applyAlignment="1">
      <alignment horizontal="center" vertical="center" wrapText="1"/>
    </xf>
    <xf numFmtId="0" fontId="11" fillId="0" borderId="3" xfId="1" applyFont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7" fillId="10" borderId="3" xfId="1" applyFont="1" applyFill="1" applyBorder="1" applyAlignment="1">
      <alignment horizontal="left" vertical="center" wrapText="1"/>
    </xf>
    <xf numFmtId="0" fontId="9" fillId="11" borderId="3" xfId="1" applyFont="1" applyFill="1" applyBorder="1" applyAlignment="1">
      <alignment horizontal="center" vertical="center" wrapText="1"/>
    </xf>
    <xf numFmtId="0" fontId="16" fillId="16" borderId="0" xfId="0" applyFont="1" applyFill="1" applyAlignment="1">
      <alignment horizontal="center" vertical="center"/>
    </xf>
    <xf numFmtId="0" fontId="15" fillId="11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9" fillId="16" borderId="0" xfId="0" applyFont="1" applyFill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7" fillId="8" borderId="10" xfId="1" applyFont="1" applyFill="1" applyBorder="1" applyAlignment="1">
      <alignment horizontal="center" vertical="center" wrapText="1"/>
    </xf>
    <xf numFmtId="0" fontId="10" fillId="19" borderId="11" xfId="1" applyFont="1" applyFill="1" applyBorder="1" applyAlignment="1">
      <alignment horizontal="center" vertical="center" wrapText="1"/>
    </xf>
    <xf numFmtId="0" fontId="9" fillId="11" borderId="14" xfId="1" applyFont="1" applyFill="1" applyBorder="1" applyAlignment="1">
      <alignment horizontal="center" vertical="center" wrapText="1"/>
    </xf>
    <xf numFmtId="0" fontId="20" fillId="20" borderId="20" xfId="1" applyFont="1" applyFill="1" applyBorder="1" applyAlignment="1">
      <alignment horizontal="left" vertical="center" wrapText="1"/>
    </xf>
    <xf numFmtId="0" fontId="20" fillId="23" borderId="30" xfId="1" applyFont="1" applyFill="1" applyBorder="1" applyAlignment="1">
      <alignment horizontal="left" vertical="center" wrapText="1"/>
    </xf>
    <xf numFmtId="0" fontId="7" fillId="21" borderId="3" xfId="1" applyFont="1" applyFill="1" applyBorder="1" applyAlignment="1">
      <alignment horizontal="center" vertical="center" wrapText="1"/>
    </xf>
    <xf numFmtId="0" fontId="20" fillId="24" borderId="3" xfId="1" applyFont="1" applyFill="1" applyBorder="1" applyAlignment="1">
      <alignment horizontal="left" vertical="center" wrapText="1"/>
    </xf>
    <xf numFmtId="0" fontId="29" fillId="27" borderId="0" xfId="0" applyFont="1" applyFill="1" applyAlignment="1">
      <alignment horizontal="center" vertical="center" wrapText="1"/>
    </xf>
    <xf numFmtId="0" fontId="30" fillId="0" borderId="0" xfId="0" applyFont="1" applyAlignment="1">
      <alignment horizontal="center"/>
    </xf>
    <xf numFmtId="0" fontId="34" fillId="0" borderId="0" xfId="0" applyFont="1" applyAlignment="1">
      <alignment vertical="top" wrapText="1"/>
    </xf>
    <xf numFmtId="0" fontId="35" fillId="8" borderId="0" xfId="0" applyFont="1" applyFill="1" applyAlignment="1">
      <alignment horizontal="center" vertical="center"/>
    </xf>
    <xf numFmtId="0" fontId="36" fillId="0" borderId="0" xfId="0" applyFont="1"/>
    <xf numFmtId="0" fontId="31" fillId="25" borderId="0" xfId="0" applyFont="1" applyFill="1"/>
    <xf numFmtId="0" fontId="38" fillId="8" borderId="40" xfId="0" applyFont="1" applyFill="1" applyBorder="1"/>
    <xf numFmtId="0" fontId="37" fillId="0" borderId="0" xfId="0" applyFont="1" applyAlignment="1">
      <alignment vertical="top" wrapText="1"/>
    </xf>
    <xf numFmtId="0" fontId="37" fillId="0" borderId="0" xfId="0" applyFont="1" applyAlignment="1"/>
    <xf numFmtId="0" fontId="37" fillId="0" borderId="0" xfId="0" applyFont="1" applyAlignment="1">
      <alignment horizontal="center"/>
    </xf>
  </cellXfs>
  <cellStyles count="2">
    <cellStyle name="Standard" xfId="0" builtinId="0"/>
    <cellStyle name="Standard 2" xfId="1" xr:uid="{00000000-0005-0000-0000-000006000000}"/>
  </cellStyles>
  <dxfs count="16">
    <dxf>
      <fill>
        <patternFill>
          <bgColor rgb="FF92D050"/>
        </patternFill>
      </fill>
    </dxf>
    <dxf>
      <fill>
        <patternFill>
          <bgColor theme="5" tint="0.39979247413556324"/>
        </patternFill>
      </fill>
    </dxf>
    <dxf>
      <fill>
        <patternFill>
          <bgColor rgb="FFFF0000"/>
        </patternFill>
      </fill>
    </dxf>
    <dxf>
      <fill>
        <patternFill>
          <bgColor theme="0" tint="-0.14999847407452621"/>
        </patternFill>
      </fill>
    </dxf>
    <dxf>
      <fill>
        <patternFill>
          <bgColor rgb="FF92D050"/>
        </patternFill>
      </fill>
    </dxf>
    <dxf>
      <fill>
        <patternFill>
          <bgColor theme="5" tint="0.39979247413556324"/>
        </patternFill>
      </fill>
    </dxf>
    <dxf>
      <fill>
        <patternFill>
          <bgColor rgb="FFFF0000"/>
        </patternFill>
      </fill>
    </dxf>
    <dxf>
      <fill>
        <patternFill>
          <bgColor theme="0" tint="-0.14999847407452621"/>
        </patternFill>
      </fill>
    </dxf>
    <dxf>
      <fill>
        <patternFill>
          <bgColor rgb="FF92D050"/>
        </patternFill>
      </fill>
    </dxf>
    <dxf>
      <fill>
        <patternFill>
          <bgColor theme="5" tint="0.39979247413556324"/>
        </patternFill>
      </fill>
    </dxf>
    <dxf>
      <fill>
        <patternFill>
          <bgColor rgb="FFFF0000"/>
        </patternFill>
      </fill>
    </dxf>
    <dxf>
      <fill>
        <patternFill>
          <bgColor theme="0" tint="-0.14999847407452621"/>
        </patternFill>
      </fill>
    </dxf>
    <dxf>
      <fill>
        <patternFill>
          <bgColor rgb="FF92D050"/>
        </patternFill>
      </fill>
    </dxf>
    <dxf>
      <fill>
        <patternFill>
          <bgColor theme="5" tint="0.39979247413556324"/>
        </patternFill>
      </fill>
    </dxf>
    <dxf>
      <fill>
        <patternFill>
          <bgColor rgb="FFFF0000"/>
        </patternFill>
      </fill>
    </dxf>
    <dxf>
      <fill>
        <patternFill>
          <bgColor theme="0" tint="-0.1499984740745262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DCE6EF"/>
      <rgbColor rgb="FF0000FF"/>
      <rgbColor rgb="FFE8E8E8"/>
      <rgbColor rgb="FFFF00FF"/>
      <rgbColor rgb="FF66FFFF"/>
      <rgbColor rgb="FF800000"/>
      <rgbColor rgb="FF008000"/>
      <rgbColor rgb="FF000080"/>
      <rgbColor rgb="FFD1D1D1"/>
      <rgbColor rgb="FF800080"/>
      <rgbColor rgb="FF008080"/>
      <rgbColor rgb="FFBFBFBF"/>
      <rgbColor rgb="FF808080"/>
      <rgbColor rgb="FF4E95D9"/>
      <rgbColor rgb="FFEDE7F3"/>
      <rgbColor rgb="FFFFFDE7"/>
      <rgbColor rgb="FFDCEAF7"/>
      <rgbColor rgb="FF660066"/>
      <rgbColor rgb="FFFF7474"/>
      <rgbColor rgb="FF0066CC"/>
      <rgbColor rgb="FFC5D3FF"/>
      <rgbColor rgb="FF000080"/>
      <rgbColor rgb="FFFF00FF"/>
      <rgbColor rgb="FFD9D9D9"/>
      <rgbColor rgb="FFC7D2DD"/>
      <rgbColor rgb="FF800080"/>
      <rgbColor rgb="FF800000"/>
      <rgbColor rgb="FF008080"/>
      <rgbColor rgb="FF0000FF"/>
      <rgbColor rgb="FF84E291"/>
      <rgbColor rgb="FFE8F0E4"/>
      <rgbColor rgb="FFD9F2D0"/>
      <rgbColor rgb="FFFBE3D6"/>
      <rgbColor rgb="FFA6CAEC"/>
      <rgbColor rgb="FFE59EDD"/>
      <rgbColor rgb="FFD86ECC"/>
      <rgbColor rgb="FFF6C6AD"/>
      <rgbColor rgb="FF4472C4"/>
      <rgbColor rgb="FF61CBF4"/>
      <rgbColor rgb="FF92D050"/>
      <rgbColor rgb="FFC9E5C2"/>
      <rgbColor rgb="FFF2AA84"/>
      <rgbColor rgb="FFF2CFEE"/>
      <rgbColor rgb="FF595959"/>
      <rgbColor rgb="FF8ED973"/>
      <rgbColor rgb="FF1F3864"/>
      <rgbColor rgb="FF00B050"/>
      <rgbColor rgb="FF1A1A1A"/>
      <rgbColor rgb="FF404040"/>
      <rgbColor rgb="FF993300"/>
      <rgbColor rgb="FFF2F2F2"/>
      <rgbColor rgb="FF333399"/>
      <rgbColor rgb="FF2B3A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earning_Factory_Module_Overvie" displayName="Learning_Factory_Module_Overvie" ref="A1:F27" totalsRowShown="0">
  <autoFilter ref="A1:F27" xr:uid="{00000000-0009-0000-0100-000001000000}"/>
  <tableColumns count="6">
    <tableColumn id="1" xr3:uid="{00000000-0010-0000-0000-000001000000}" name="Titel"/>
    <tableColumn id="2" xr3:uid="{00000000-0010-0000-0000-000002000000}" name="Kurzbeschreibung"/>
    <tableColumn id="3" xr3:uid="{00000000-0010-0000-0000-000003000000}" name="Zielgruppe"/>
    <tableColumn id="4" xr3:uid="{00000000-0010-0000-0000-000004000000}" name="Level"/>
    <tableColumn id="5" xr3:uid="{00000000-0010-0000-0000-000005000000}" name="Zustand"/>
    <tableColumn id="6" xr3:uid="{00000000-0010-0000-0000-000006000000}" name="Ansprechpartner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elle1_1" displayName="Tabelle1_1" ref="A1:A7" totalsRowShown="0">
  <autoFilter ref="A1:A7" xr:uid="{00000000-0009-0000-0100-000003000000}"/>
  <tableColumns count="1">
    <tableColumn id="1" xr3:uid="{00000000-0010-0000-0100-000001000000}" name="Spalte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elle1" displayName="Tabelle1" ref="I5:I11" totalsRowShown="0">
  <autoFilter ref="I5:I11" xr:uid="{00000000-0009-0000-0100-000002000000}"/>
  <tableColumns count="1">
    <tableColumn id="1" xr3:uid="{00000000-0010-0000-0200-000001000000}" name="Spalte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opLeftCell="A15" zoomScaleNormal="100" workbookViewId="0">
      <selection activeCell="F26" sqref="F26"/>
    </sheetView>
  </sheetViews>
  <sheetFormatPr baseColWidth="10" defaultColWidth="27.33203125" defaultRowHeight="14.4" x14ac:dyDescent="0.3"/>
  <cols>
    <col min="1" max="1" width="27.33203125" style="15"/>
    <col min="2" max="2" width="39.5546875" style="15" customWidth="1"/>
    <col min="3" max="4" width="27.33203125" style="15"/>
    <col min="5" max="5" width="36.21875" style="15" customWidth="1"/>
    <col min="6" max="16384" width="27.33203125" style="15"/>
  </cols>
  <sheetData>
    <row r="1" spans="1:6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</row>
    <row r="2" spans="1:6" x14ac:dyDescent="0.3">
      <c r="A2" s="15" t="s">
        <v>0</v>
      </c>
      <c r="B2" s="15" t="s">
        <v>1</v>
      </c>
      <c r="C2" s="15" t="s">
        <v>2</v>
      </c>
      <c r="D2" s="15" t="s">
        <v>3</v>
      </c>
      <c r="E2" s="15" t="s">
        <v>4</v>
      </c>
    </row>
    <row r="3" spans="1:6" ht="72" customHeight="1" x14ac:dyDescent="0.3">
      <c r="A3" s="15" t="s">
        <v>6</v>
      </c>
      <c r="B3" s="15" t="s">
        <v>7</v>
      </c>
      <c r="C3" s="15" t="s">
        <v>8</v>
      </c>
      <c r="D3" s="15" t="s">
        <v>9</v>
      </c>
      <c r="E3" s="15" t="s">
        <v>10</v>
      </c>
      <c r="F3" s="15" t="s">
        <v>11</v>
      </c>
    </row>
    <row r="4" spans="1:6" ht="61.5" customHeight="1" x14ac:dyDescent="0.3">
      <c r="A4" s="15" t="s">
        <v>12</v>
      </c>
      <c r="B4" s="15" t="s">
        <v>13</v>
      </c>
      <c r="C4" s="15" t="s">
        <v>14</v>
      </c>
      <c r="D4" s="15" t="s">
        <v>15</v>
      </c>
      <c r="E4" s="15" t="s">
        <v>16</v>
      </c>
      <c r="F4" s="15" t="s">
        <v>17</v>
      </c>
    </row>
    <row r="5" spans="1:6" ht="69.75" customHeight="1" x14ac:dyDescent="0.3">
      <c r="A5" s="15" t="s">
        <v>18</v>
      </c>
      <c r="B5" s="15" t="s">
        <v>19</v>
      </c>
      <c r="C5" s="15" t="s">
        <v>20</v>
      </c>
      <c r="D5" s="15" t="s">
        <v>21</v>
      </c>
      <c r="E5" s="15" t="s">
        <v>22</v>
      </c>
      <c r="F5" s="15" t="s">
        <v>23</v>
      </c>
    </row>
    <row r="6" spans="1:6" ht="69" customHeight="1" x14ac:dyDescent="0.3">
      <c r="A6" s="15" t="s">
        <v>24</v>
      </c>
      <c r="B6" s="15" t="s">
        <v>25</v>
      </c>
      <c r="C6" s="15" t="s">
        <v>20</v>
      </c>
      <c r="D6" s="15" t="s">
        <v>26</v>
      </c>
      <c r="E6" s="15" t="s">
        <v>27</v>
      </c>
      <c r="F6" s="15" t="s">
        <v>28</v>
      </c>
    </row>
    <row r="7" spans="1:6" ht="81" customHeight="1" x14ac:dyDescent="0.3">
      <c r="A7" s="15" t="s">
        <v>29</v>
      </c>
      <c r="B7" s="15" t="s">
        <v>30</v>
      </c>
      <c r="C7" s="15" t="s">
        <v>31</v>
      </c>
      <c r="D7" s="15" t="s">
        <v>15</v>
      </c>
      <c r="E7" s="15" t="s">
        <v>32</v>
      </c>
      <c r="F7" s="15" t="s">
        <v>33</v>
      </c>
    </row>
    <row r="8" spans="1:6" ht="74.25" customHeight="1" x14ac:dyDescent="0.3">
      <c r="A8" s="15" t="s">
        <v>34</v>
      </c>
      <c r="B8" s="15" t="s">
        <v>35</v>
      </c>
      <c r="C8" s="15" t="s">
        <v>36</v>
      </c>
      <c r="D8" s="15" t="s">
        <v>9</v>
      </c>
      <c r="E8" s="15" t="s">
        <v>37</v>
      </c>
      <c r="F8" s="15" t="s">
        <v>38</v>
      </c>
    </row>
    <row r="9" spans="1:6" ht="66" customHeight="1" x14ac:dyDescent="0.3">
      <c r="A9" s="15" t="s">
        <v>39</v>
      </c>
      <c r="B9" s="15" t="s">
        <v>40</v>
      </c>
      <c r="C9" s="15" t="s">
        <v>41</v>
      </c>
      <c r="D9" s="15" t="s">
        <v>9</v>
      </c>
      <c r="E9" s="15" t="s">
        <v>42</v>
      </c>
      <c r="F9" s="15" t="s">
        <v>43</v>
      </c>
    </row>
    <row r="10" spans="1:6" ht="69" customHeight="1" x14ac:dyDescent="0.3">
      <c r="A10" s="15" t="s">
        <v>44</v>
      </c>
      <c r="B10" s="15" t="s">
        <v>45</v>
      </c>
      <c r="C10" s="15" t="s">
        <v>46</v>
      </c>
      <c r="D10" s="15" t="s">
        <v>21</v>
      </c>
      <c r="E10" s="15" t="s">
        <v>47</v>
      </c>
      <c r="F10" s="15" t="s">
        <v>48</v>
      </c>
    </row>
    <row r="11" spans="1:6" ht="66" customHeight="1" x14ac:dyDescent="0.3">
      <c r="A11" s="15" t="s">
        <v>49</v>
      </c>
      <c r="B11" s="15" t="s">
        <v>50</v>
      </c>
      <c r="C11" s="15" t="s">
        <v>46</v>
      </c>
      <c r="D11" s="15" t="s">
        <v>9</v>
      </c>
      <c r="E11" s="15" t="s">
        <v>51</v>
      </c>
      <c r="F11" s="15" t="s">
        <v>52</v>
      </c>
    </row>
    <row r="12" spans="1:6" ht="72" customHeight="1" x14ac:dyDescent="0.3">
      <c r="A12" s="15" t="s">
        <v>53</v>
      </c>
      <c r="B12" s="15" t="s">
        <v>54</v>
      </c>
      <c r="C12" s="15" t="s">
        <v>41</v>
      </c>
      <c r="D12" s="15" t="s">
        <v>21</v>
      </c>
      <c r="E12" s="15" t="s">
        <v>55</v>
      </c>
      <c r="F12" s="15" t="s">
        <v>56</v>
      </c>
    </row>
    <row r="13" spans="1:6" ht="75" customHeight="1" x14ac:dyDescent="0.3">
      <c r="A13" s="15" t="s">
        <v>57</v>
      </c>
      <c r="B13" s="15" t="s">
        <v>58</v>
      </c>
      <c r="C13" s="15" t="s">
        <v>20</v>
      </c>
      <c r="D13" s="15" t="s">
        <v>9</v>
      </c>
      <c r="E13" s="15" t="s">
        <v>59</v>
      </c>
      <c r="F13" s="15" t="s">
        <v>60</v>
      </c>
    </row>
    <row r="14" spans="1:6" ht="57.75" customHeight="1" x14ac:dyDescent="0.3">
      <c r="A14" s="15" t="s">
        <v>61</v>
      </c>
      <c r="B14" s="15" t="s">
        <v>62</v>
      </c>
      <c r="C14" s="15" t="s">
        <v>20</v>
      </c>
      <c r="D14" s="15" t="s">
        <v>15</v>
      </c>
      <c r="E14" s="15" t="s">
        <v>63</v>
      </c>
    </row>
    <row r="15" spans="1:6" ht="72" customHeight="1" x14ac:dyDescent="0.3">
      <c r="A15" s="15" t="s">
        <v>64</v>
      </c>
      <c r="B15" s="15" t="s">
        <v>65</v>
      </c>
      <c r="C15" s="15" t="s">
        <v>31</v>
      </c>
      <c r="D15" s="15" t="s">
        <v>15</v>
      </c>
      <c r="E15" s="15" t="s">
        <v>66</v>
      </c>
    </row>
    <row r="16" spans="1:6" ht="60" customHeight="1" x14ac:dyDescent="0.3">
      <c r="A16" s="15" t="s">
        <v>67</v>
      </c>
      <c r="B16" s="15" t="s">
        <v>68</v>
      </c>
      <c r="C16" s="15" t="s">
        <v>46</v>
      </c>
      <c r="D16" s="15" t="s">
        <v>9</v>
      </c>
      <c r="E16" s="15" t="s">
        <v>69</v>
      </c>
      <c r="F16" s="15" t="s">
        <v>70</v>
      </c>
    </row>
    <row r="17" spans="1:6" ht="60.75" customHeight="1" x14ac:dyDescent="0.3">
      <c r="A17" s="15" t="s">
        <v>71</v>
      </c>
      <c r="B17" s="15" t="s">
        <v>72</v>
      </c>
      <c r="C17" s="15" t="s">
        <v>20</v>
      </c>
      <c r="D17" s="15" t="s">
        <v>9</v>
      </c>
      <c r="E17" s="15" t="s">
        <v>73</v>
      </c>
      <c r="F17" s="15" t="s">
        <v>74</v>
      </c>
    </row>
    <row r="18" spans="1:6" ht="61.5" customHeight="1" x14ac:dyDescent="0.3">
      <c r="A18" s="15" t="s">
        <v>75</v>
      </c>
      <c r="B18" s="15" t="s">
        <v>76</v>
      </c>
      <c r="C18" s="15" t="s">
        <v>31</v>
      </c>
      <c r="D18" s="15" t="s">
        <v>9</v>
      </c>
      <c r="E18" s="15" t="s">
        <v>77</v>
      </c>
      <c r="F18" s="15" t="s">
        <v>78</v>
      </c>
    </row>
    <row r="19" spans="1:6" ht="66" customHeight="1" x14ac:dyDescent="0.3">
      <c r="A19" s="15" t="s">
        <v>79</v>
      </c>
      <c r="B19" s="15" t="s">
        <v>80</v>
      </c>
      <c r="C19" s="15" t="s">
        <v>81</v>
      </c>
      <c r="D19" s="15" t="s">
        <v>21</v>
      </c>
      <c r="E19" s="15" t="s">
        <v>82</v>
      </c>
      <c r="F19" s="15" t="s">
        <v>83</v>
      </c>
    </row>
    <row r="20" spans="1:6" ht="57.75" customHeight="1" x14ac:dyDescent="0.3">
      <c r="A20" s="15" t="s">
        <v>84</v>
      </c>
      <c r="B20" s="15" t="s">
        <v>85</v>
      </c>
      <c r="C20" s="15" t="s">
        <v>46</v>
      </c>
      <c r="D20" s="15" t="s">
        <v>86</v>
      </c>
      <c r="E20" s="15" t="s">
        <v>87</v>
      </c>
    </row>
    <row r="21" spans="1:6" ht="69.75" customHeight="1" x14ac:dyDescent="0.3">
      <c r="A21" s="15" t="s">
        <v>88</v>
      </c>
      <c r="B21" s="15" t="s">
        <v>89</v>
      </c>
      <c r="C21" s="15" t="s">
        <v>41</v>
      </c>
      <c r="D21" s="15" t="s">
        <v>21</v>
      </c>
      <c r="E21" s="15" t="s">
        <v>90</v>
      </c>
      <c r="F21" s="15" t="s">
        <v>91</v>
      </c>
    </row>
    <row r="22" spans="1:6" ht="63" customHeight="1" x14ac:dyDescent="0.3">
      <c r="A22" s="15" t="s">
        <v>92</v>
      </c>
      <c r="B22" s="15" t="s">
        <v>93</v>
      </c>
      <c r="C22" s="15" t="s">
        <v>46</v>
      </c>
      <c r="D22" s="15" t="s">
        <v>86</v>
      </c>
      <c r="E22" s="15" t="s">
        <v>94</v>
      </c>
    </row>
    <row r="23" spans="1:6" ht="78" customHeight="1" x14ac:dyDescent="0.3">
      <c r="A23" s="15" t="s">
        <v>95</v>
      </c>
      <c r="B23" s="15" t="s">
        <v>96</v>
      </c>
      <c r="C23" s="15" t="s">
        <v>97</v>
      </c>
      <c r="D23" s="15" t="s">
        <v>9</v>
      </c>
      <c r="E23" s="15" t="s">
        <v>98</v>
      </c>
      <c r="F23" s="15" t="s">
        <v>99</v>
      </c>
    </row>
    <row r="24" spans="1:6" ht="72" customHeight="1" x14ac:dyDescent="0.3">
      <c r="A24" s="15" t="s">
        <v>100</v>
      </c>
      <c r="B24" s="15" t="s">
        <v>101</v>
      </c>
      <c r="C24" s="15" t="s">
        <v>41</v>
      </c>
      <c r="D24" s="15" t="s">
        <v>21</v>
      </c>
      <c r="E24" s="15" t="s">
        <v>102</v>
      </c>
      <c r="F24" s="15" t="s">
        <v>103</v>
      </c>
    </row>
    <row r="25" spans="1:6" ht="89.25" customHeight="1" x14ac:dyDescent="0.3">
      <c r="A25" s="15" t="s">
        <v>104</v>
      </c>
      <c r="B25" s="15" t="s">
        <v>105</v>
      </c>
      <c r="C25" s="15" t="s">
        <v>106</v>
      </c>
      <c r="D25" s="15" t="s">
        <v>107</v>
      </c>
      <c r="E25" s="15" t="s">
        <v>108</v>
      </c>
      <c r="F25" s="15" t="s">
        <v>109</v>
      </c>
    </row>
    <row r="26" spans="1:6" ht="77.25" customHeight="1" x14ac:dyDescent="0.3">
      <c r="A26" s="15" t="s">
        <v>110</v>
      </c>
      <c r="B26" s="15" t="s">
        <v>111</v>
      </c>
      <c r="C26" s="15" t="s">
        <v>20</v>
      </c>
      <c r="D26" s="15" t="s">
        <v>9</v>
      </c>
      <c r="E26" s="15" t="s">
        <v>112</v>
      </c>
      <c r="F26" s="15" t="s">
        <v>113</v>
      </c>
    </row>
    <row r="27" spans="1:6" ht="42.75" customHeight="1" x14ac:dyDescent="0.3">
      <c r="A27" s="15" t="s">
        <v>114</v>
      </c>
      <c r="B27" s="15" t="s">
        <v>115</v>
      </c>
      <c r="C27" s="15" t="s">
        <v>46</v>
      </c>
      <c r="D27" s="15" t="s">
        <v>9</v>
      </c>
      <c r="E27" s="15" t="s">
        <v>116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3"/>
  <sheetViews>
    <sheetView zoomScaleNormal="100" workbookViewId="0">
      <selection activeCell="G14" sqref="G14"/>
    </sheetView>
  </sheetViews>
  <sheetFormatPr baseColWidth="10" defaultColWidth="10.5546875" defaultRowHeight="14.4" x14ac:dyDescent="0.3"/>
  <cols>
    <col min="1" max="1" width="35.44140625" customWidth="1"/>
    <col min="2" max="8" width="13.77734375" style="16" customWidth="1"/>
    <col min="9" max="9" width="18" customWidth="1"/>
    <col min="10" max="10" width="14.33203125" customWidth="1"/>
    <col min="11" max="11" width="20.109375" customWidth="1"/>
  </cols>
  <sheetData>
    <row r="1" spans="1:17" ht="34.5" customHeight="1" x14ac:dyDescent="0.3">
      <c r="A1" s="17" t="s">
        <v>117</v>
      </c>
    </row>
    <row r="2" spans="1:17" ht="34.5" customHeight="1" x14ac:dyDescent="0.3">
      <c r="A2" s="18" t="s">
        <v>118</v>
      </c>
    </row>
    <row r="3" spans="1:17" ht="34.5" customHeight="1" x14ac:dyDescent="0.3">
      <c r="A3" s="18" t="s">
        <v>119</v>
      </c>
    </row>
    <row r="4" spans="1:17" ht="34.5" customHeight="1" x14ac:dyDescent="0.3">
      <c r="A4" s="18" t="s">
        <v>120</v>
      </c>
    </row>
    <row r="5" spans="1:17" ht="34.5" customHeight="1" x14ac:dyDescent="0.3">
      <c r="A5" s="19" t="s">
        <v>121</v>
      </c>
    </row>
    <row r="6" spans="1:17" ht="34.5" customHeight="1" x14ac:dyDescent="0.3">
      <c r="A6" s="18" t="s">
        <v>122</v>
      </c>
    </row>
    <row r="10" spans="1:17" ht="42.75" customHeight="1" x14ac:dyDescent="0.3">
      <c r="A10" t="s">
        <v>2</v>
      </c>
      <c r="B10" s="16" t="s">
        <v>123</v>
      </c>
      <c r="C10" s="16" t="s">
        <v>124</v>
      </c>
      <c r="D10" s="16" t="s">
        <v>125</v>
      </c>
      <c r="E10" s="16" t="s">
        <v>126</v>
      </c>
      <c r="F10" s="16" t="s">
        <v>127</v>
      </c>
      <c r="G10" s="16" t="s">
        <v>128</v>
      </c>
      <c r="H10" s="16" t="s">
        <v>129</v>
      </c>
      <c r="I10" t="s">
        <v>130</v>
      </c>
      <c r="J10" t="s">
        <v>131</v>
      </c>
      <c r="K10" t="s">
        <v>132</v>
      </c>
    </row>
    <row r="12" spans="1:17" ht="42.75" customHeight="1" x14ac:dyDescent="0.3">
      <c r="A12" t="s">
        <v>133</v>
      </c>
      <c r="B12" s="16" t="s">
        <v>134</v>
      </c>
      <c r="C12" s="16" t="s">
        <v>135</v>
      </c>
      <c r="D12" s="16" t="s">
        <v>136</v>
      </c>
      <c r="E12" s="16" t="s">
        <v>137</v>
      </c>
      <c r="F12" s="16" t="s">
        <v>138</v>
      </c>
      <c r="G12" s="16" t="s">
        <v>139</v>
      </c>
      <c r="H12" s="16" t="s">
        <v>140</v>
      </c>
      <c r="I12" t="s">
        <v>141</v>
      </c>
      <c r="J12" t="s">
        <v>142</v>
      </c>
      <c r="K12" t="s">
        <v>143</v>
      </c>
      <c r="L12" t="s">
        <v>144</v>
      </c>
      <c r="M12" t="s">
        <v>145</v>
      </c>
      <c r="N12" t="s">
        <v>146</v>
      </c>
      <c r="O12" t="s">
        <v>147</v>
      </c>
      <c r="P12" t="s">
        <v>148</v>
      </c>
      <c r="Q12" t="s">
        <v>149</v>
      </c>
    </row>
    <row r="13" spans="1:17" x14ac:dyDescent="0.3">
      <c r="A13" s="20"/>
    </row>
    <row r="14" spans="1:17" ht="42.75" customHeight="1" x14ac:dyDescent="0.3">
      <c r="A14" t="s">
        <v>150</v>
      </c>
      <c r="B14" s="16" t="s">
        <v>151</v>
      </c>
      <c r="C14" s="16" t="s">
        <v>152</v>
      </c>
      <c r="D14" s="16" t="s">
        <v>153</v>
      </c>
      <c r="E14" s="16" t="s">
        <v>154</v>
      </c>
    </row>
    <row r="16" spans="1:17" ht="28.5" customHeight="1" x14ac:dyDescent="0.3">
      <c r="A16" s="21" t="s">
        <v>155</v>
      </c>
      <c r="B16" s="22" t="s">
        <v>156</v>
      </c>
      <c r="C16" s="16" t="s">
        <v>157</v>
      </c>
      <c r="D16" s="16" t="s">
        <v>158</v>
      </c>
    </row>
    <row r="18" spans="1:8" x14ac:dyDescent="0.3">
      <c r="A18" t="s">
        <v>159</v>
      </c>
      <c r="B18" s="16" t="s">
        <v>160</v>
      </c>
      <c r="C18" s="16" t="s">
        <v>161</v>
      </c>
      <c r="D18" s="16" t="s">
        <v>162</v>
      </c>
      <c r="E18" s="16" t="s">
        <v>163</v>
      </c>
      <c r="F18" s="16" t="s">
        <v>164</v>
      </c>
    </row>
    <row r="20" spans="1:8" ht="57" customHeight="1" x14ac:dyDescent="0.3">
      <c r="A20" t="s">
        <v>165</v>
      </c>
      <c r="B20" s="16" t="s">
        <v>166</v>
      </c>
      <c r="C20" s="16" t="s">
        <v>167</v>
      </c>
      <c r="D20" s="16" t="s">
        <v>168</v>
      </c>
      <c r="E20" s="16" t="s">
        <v>169</v>
      </c>
    </row>
    <row r="22" spans="1:8" ht="28.5" customHeight="1" x14ac:dyDescent="0.3">
      <c r="A22" t="s">
        <v>170</v>
      </c>
      <c r="B22" s="16" t="s">
        <v>171</v>
      </c>
      <c r="C22" s="16" t="s">
        <v>172</v>
      </c>
      <c r="D22" s="16" t="s">
        <v>173</v>
      </c>
      <c r="E22" s="16" t="s">
        <v>174</v>
      </c>
    </row>
    <row r="24" spans="1:8" ht="57" customHeight="1" x14ac:dyDescent="0.3">
      <c r="A24" t="s">
        <v>175</v>
      </c>
      <c r="B24" s="16" t="s">
        <v>176</v>
      </c>
      <c r="C24" s="16" t="s">
        <v>177</v>
      </c>
      <c r="D24" s="16" t="s">
        <v>178</v>
      </c>
    </row>
    <row r="26" spans="1:8" x14ac:dyDescent="0.3">
      <c r="A26" t="s">
        <v>179</v>
      </c>
      <c r="B26" s="16" t="s">
        <v>180</v>
      </c>
      <c r="C26" s="16" t="s">
        <v>181</v>
      </c>
      <c r="D26" s="16" t="s">
        <v>182</v>
      </c>
      <c r="E26" s="16" t="s">
        <v>183</v>
      </c>
    </row>
    <row r="28" spans="1:8" ht="57" customHeight="1" x14ac:dyDescent="0.3">
      <c r="A28" t="s">
        <v>184</v>
      </c>
      <c r="B28" s="16" t="s">
        <v>185</v>
      </c>
      <c r="C28" s="16" t="s">
        <v>186</v>
      </c>
      <c r="D28" s="16" t="s">
        <v>187</v>
      </c>
      <c r="E28" s="16" t="s">
        <v>188</v>
      </c>
      <c r="F28" s="16" t="s">
        <v>189</v>
      </c>
      <c r="G28" s="16" t="s">
        <v>190</v>
      </c>
      <c r="H28" s="16" t="s">
        <v>191</v>
      </c>
    </row>
    <row r="30" spans="1:8" ht="42.75" customHeight="1" x14ac:dyDescent="0.3">
      <c r="A30" t="s">
        <v>192</v>
      </c>
      <c r="B30" s="16" t="s">
        <v>193</v>
      </c>
      <c r="C30" s="16" t="s">
        <v>194</v>
      </c>
      <c r="D30" s="16" t="s">
        <v>195</v>
      </c>
    </row>
    <row r="32" spans="1:8" ht="42.75" customHeight="1" x14ac:dyDescent="0.3">
      <c r="A32" t="s">
        <v>196</v>
      </c>
      <c r="B32" s="16" t="s">
        <v>197</v>
      </c>
      <c r="C32" s="16" t="s">
        <v>198</v>
      </c>
      <c r="D32" s="16" t="s">
        <v>199</v>
      </c>
      <c r="E32" s="16" t="s">
        <v>200</v>
      </c>
      <c r="F32" s="16" t="s">
        <v>201</v>
      </c>
    </row>
    <row r="34" spans="1:11" ht="28.5" customHeight="1" x14ac:dyDescent="0.3">
      <c r="A34" t="s">
        <v>202</v>
      </c>
      <c r="B34" s="16" t="s">
        <v>203</v>
      </c>
      <c r="C34" s="16" t="s">
        <v>204</v>
      </c>
      <c r="D34" s="16" t="s">
        <v>205</v>
      </c>
      <c r="E34" s="16" t="s">
        <v>206</v>
      </c>
      <c r="F34" s="16" t="s">
        <v>207</v>
      </c>
      <c r="G34" s="16" t="s">
        <v>208</v>
      </c>
      <c r="H34" s="16" t="s">
        <v>209</v>
      </c>
    </row>
    <row r="36" spans="1:11" ht="42.75" customHeight="1" x14ac:dyDescent="0.3">
      <c r="A36" t="s">
        <v>210</v>
      </c>
      <c r="B36" s="16" t="s">
        <v>211</v>
      </c>
      <c r="C36" s="16" t="s">
        <v>212</v>
      </c>
      <c r="D36" s="16" t="s">
        <v>209</v>
      </c>
    </row>
    <row r="38" spans="1:11" ht="28.5" customHeight="1" x14ac:dyDescent="0.3">
      <c r="A38" t="s">
        <v>213</v>
      </c>
      <c r="B38" s="16" t="s">
        <v>214</v>
      </c>
      <c r="C38" s="16" t="s">
        <v>215</v>
      </c>
      <c r="D38" s="16" t="s">
        <v>216</v>
      </c>
      <c r="E38" s="16" t="s">
        <v>217</v>
      </c>
      <c r="F38" s="16" t="s">
        <v>218</v>
      </c>
      <c r="G38" s="16" t="s">
        <v>219</v>
      </c>
      <c r="H38" s="16" t="s">
        <v>220</v>
      </c>
      <c r="I38" t="s">
        <v>221</v>
      </c>
      <c r="J38" t="s">
        <v>222</v>
      </c>
    </row>
    <row r="40" spans="1:11" ht="28.5" customHeight="1" x14ac:dyDescent="0.3">
      <c r="A40" t="s">
        <v>223</v>
      </c>
      <c r="B40" s="16" t="s">
        <v>224</v>
      </c>
      <c r="C40" s="16" t="s">
        <v>225</v>
      </c>
      <c r="D40" s="16" t="s">
        <v>226</v>
      </c>
      <c r="E40" s="16" t="s">
        <v>227</v>
      </c>
    </row>
    <row r="42" spans="1:11" ht="42.75" customHeight="1" x14ac:dyDescent="0.3">
      <c r="A42" t="s">
        <v>228</v>
      </c>
      <c r="B42" s="16" t="s">
        <v>229</v>
      </c>
      <c r="C42" s="16" t="s">
        <v>230</v>
      </c>
      <c r="D42" s="16" t="s">
        <v>231</v>
      </c>
      <c r="E42" s="16" t="s">
        <v>232</v>
      </c>
      <c r="F42" s="16" t="s">
        <v>233</v>
      </c>
    </row>
    <row r="43" spans="1:11" ht="57" customHeight="1" x14ac:dyDescent="0.3">
      <c r="A43" t="s">
        <v>234</v>
      </c>
      <c r="B43" s="16" t="s">
        <v>235</v>
      </c>
      <c r="C43" s="16" t="s">
        <v>236</v>
      </c>
      <c r="D43" s="16" t="s">
        <v>237</v>
      </c>
      <c r="E43" s="16" t="s">
        <v>238</v>
      </c>
    </row>
    <row r="44" spans="1:11" ht="42.75" customHeight="1" x14ac:dyDescent="0.3">
      <c r="A44" t="s">
        <v>239</v>
      </c>
      <c r="B44" s="16" t="s">
        <v>240</v>
      </c>
      <c r="C44" s="16" t="s">
        <v>241</v>
      </c>
      <c r="D44" s="16" t="s">
        <v>242</v>
      </c>
      <c r="E44" s="16" t="s">
        <v>243</v>
      </c>
      <c r="F44" s="16" t="s">
        <v>244</v>
      </c>
      <c r="G44" s="16" t="s">
        <v>245</v>
      </c>
      <c r="H44" s="16" t="s">
        <v>246</v>
      </c>
      <c r="I44" t="s">
        <v>247</v>
      </c>
      <c r="J44" t="s">
        <v>248</v>
      </c>
      <c r="K44" t="s">
        <v>249</v>
      </c>
    </row>
    <row r="46" spans="1:11" ht="28.5" customHeight="1" x14ac:dyDescent="0.3">
      <c r="A46" t="s">
        <v>250</v>
      </c>
      <c r="B46" s="16" t="s">
        <v>251</v>
      </c>
      <c r="C46" s="16" t="s">
        <v>252</v>
      </c>
      <c r="D46" s="16" t="s">
        <v>253</v>
      </c>
    </row>
    <row r="48" spans="1:11" ht="28.5" customHeight="1" x14ac:dyDescent="0.3">
      <c r="A48" t="s">
        <v>254</v>
      </c>
      <c r="B48" s="16" t="s">
        <v>255</v>
      </c>
      <c r="C48" s="16" t="s">
        <v>256</v>
      </c>
      <c r="D48" s="16" t="s">
        <v>257</v>
      </c>
      <c r="E48" s="16" t="s">
        <v>258</v>
      </c>
      <c r="F48" s="16" t="s">
        <v>259</v>
      </c>
      <c r="G48" s="16" t="s">
        <v>260</v>
      </c>
      <c r="H48" s="16" t="s">
        <v>261</v>
      </c>
    </row>
    <row r="50" spans="1:8" ht="28.5" customHeight="1" x14ac:dyDescent="0.3">
      <c r="A50" t="s">
        <v>262</v>
      </c>
      <c r="B50" s="16" t="s">
        <v>263</v>
      </c>
      <c r="C50" s="16" t="s">
        <v>264</v>
      </c>
      <c r="D50" s="16" t="s">
        <v>265</v>
      </c>
      <c r="E50" s="16" t="s">
        <v>266</v>
      </c>
      <c r="F50" s="16" t="s">
        <v>267</v>
      </c>
    </row>
    <row r="53" spans="1:8" ht="42.75" customHeight="1" x14ac:dyDescent="0.3">
      <c r="A53" t="s">
        <v>268</v>
      </c>
      <c r="B53" s="16" t="s">
        <v>269</v>
      </c>
      <c r="C53" s="16" t="s">
        <v>270</v>
      </c>
      <c r="D53" s="16" t="s">
        <v>271</v>
      </c>
      <c r="E53" s="16" t="s">
        <v>272</v>
      </c>
    </row>
    <row r="55" spans="1:8" ht="90.75" customHeight="1" x14ac:dyDescent="0.3">
      <c r="A55" t="s">
        <v>273</v>
      </c>
      <c r="B55" s="20" t="s">
        <v>274</v>
      </c>
      <c r="C55" s="16" t="s">
        <v>275</v>
      </c>
      <c r="D55" s="16" t="s">
        <v>276</v>
      </c>
      <c r="E55" s="16" t="s">
        <v>277</v>
      </c>
    </row>
    <row r="57" spans="1:8" ht="42.75" customHeight="1" x14ac:dyDescent="0.3">
      <c r="A57" t="s">
        <v>278</v>
      </c>
      <c r="B57" s="16" t="s">
        <v>274</v>
      </c>
      <c r="C57" s="16" t="s">
        <v>275</v>
      </c>
      <c r="D57" s="16" t="s">
        <v>279</v>
      </c>
      <c r="E57" s="16" t="s">
        <v>280</v>
      </c>
      <c r="F57" s="16" t="s">
        <v>281</v>
      </c>
    </row>
    <row r="59" spans="1:8" ht="28.5" customHeight="1" x14ac:dyDescent="0.3">
      <c r="A59" t="s">
        <v>282</v>
      </c>
      <c r="B59" s="16" t="s">
        <v>283</v>
      </c>
      <c r="C59" s="16" t="s">
        <v>284</v>
      </c>
      <c r="D59" s="16" t="s">
        <v>285</v>
      </c>
    </row>
    <row r="61" spans="1:8" ht="42.75" customHeight="1" x14ac:dyDescent="0.3">
      <c r="A61" t="s">
        <v>286</v>
      </c>
      <c r="B61" s="16" t="s">
        <v>287</v>
      </c>
      <c r="C61" s="16" t="s">
        <v>288</v>
      </c>
      <c r="D61" s="16" t="s">
        <v>289</v>
      </c>
      <c r="E61" s="16" t="s">
        <v>290</v>
      </c>
      <c r="F61" s="16" t="s">
        <v>291</v>
      </c>
      <c r="G61" s="16" t="s">
        <v>292</v>
      </c>
      <c r="H61" s="16" t="s">
        <v>293</v>
      </c>
    </row>
    <row r="63" spans="1:8" x14ac:dyDescent="0.3">
      <c r="A63" t="s">
        <v>294</v>
      </c>
      <c r="B63" s="23" t="s">
        <v>295</v>
      </c>
      <c r="C63" s="16" t="s">
        <v>296</v>
      </c>
      <c r="D63" s="16" t="s">
        <v>297</v>
      </c>
      <c r="E63" s="16" t="s">
        <v>298</v>
      </c>
      <c r="F63" s="16" t="s">
        <v>299</v>
      </c>
    </row>
    <row r="65" spans="1:11" x14ac:dyDescent="0.3">
      <c r="A65" t="s">
        <v>300</v>
      </c>
      <c r="B65" s="16">
        <v>1</v>
      </c>
      <c r="C65" s="16" t="s">
        <v>301</v>
      </c>
      <c r="D65" s="16" t="s">
        <v>302</v>
      </c>
      <c r="E65" s="16" t="s">
        <v>303</v>
      </c>
      <c r="F65" s="16" t="s">
        <v>304</v>
      </c>
    </row>
    <row r="67" spans="1:11" ht="42.75" customHeight="1" x14ac:dyDescent="0.3">
      <c r="A67" t="s">
        <v>305</v>
      </c>
      <c r="B67" s="16" t="s">
        <v>306</v>
      </c>
      <c r="C67" s="16" t="s">
        <v>307</v>
      </c>
      <c r="D67" s="16" t="s">
        <v>308</v>
      </c>
      <c r="E67" s="16" t="s">
        <v>309</v>
      </c>
      <c r="F67" s="16" t="s">
        <v>310</v>
      </c>
      <c r="G67" s="16" t="s">
        <v>311</v>
      </c>
      <c r="H67" s="16" t="s">
        <v>312</v>
      </c>
      <c r="I67" t="s">
        <v>313</v>
      </c>
      <c r="J67" t="s">
        <v>314</v>
      </c>
      <c r="K67" t="s">
        <v>315</v>
      </c>
    </row>
    <row r="69" spans="1:11" x14ac:dyDescent="0.3">
      <c r="A69" t="s">
        <v>316</v>
      </c>
      <c r="B69" s="16" t="s">
        <v>317</v>
      </c>
      <c r="C69" s="16" t="s">
        <v>318</v>
      </c>
      <c r="D69" s="16" t="s">
        <v>319</v>
      </c>
      <c r="E69" s="16" t="s">
        <v>320</v>
      </c>
      <c r="F69" s="16" t="s">
        <v>321</v>
      </c>
      <c r="G69" s="16" t="s">
        <v>322</v>
      </c>
      <c r="H69" s="16" t="s">
        <v>323</v>
      </c>
    </row>
    <row r="71" spans="1:11" ht="28.5" customHeight="1" x14ac:dyDescent="0.3">
      <c r="A71" t="s">
        <v>324</v>
      </c>
      <c r="B71" s="16" t="s">
        <v>325</v>
      </c>
      <c r="C71" s="16" t="s">
        <v>326</v>
      </c>
      <c r="D71" s="16" t="s">
        <v>327</v>
      </c>
      <c r="E71" s="16" t="s">
        <v>328</v>
      </c>
    </row>
    <row r="73" spans="1:11" ht="28.5" customHeight="1" x14ac:dyDescent="0.3">
      <c r="A73" t="s">
        <v>329</v>
      </c>
      <c r="B73" s="16" t="s">
        <v>325</v>
      </c>
      <c r="C73" s="16" t="s">
        <v>326</v>
      </c>
      <c r="D73" s="16" t="s">
        <v>327</v>
      </c>
      <c r="E73" s="16" t="s">
        <v>328</v>
      </c>
    </row>
  </sheetData>
  <dataValidations count="1">
    <dataValidation type="list" allowBlank="1" showInputMessage="1" showErrorMessage="1" sqref="A2:A6" xr:uid="{00000000-0002-0000-0100-000000000000}">
      <formula1>RelevanzListe</formula1>
      <formula2>0</formula2>
    </dataValidation>
  </dataValidations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zoomScaleNormal="100" workbookViewId="0">
      <selection activeCell="C21" sqref="C21"/>
    </sheetView>
  </sheetViews>
  <sheetFormatPr baseColWidth="10" defaultColWidth="10.5546875" defaultRowHeight="14.4" x14ac:dyDescent="0.3"/>
  <cols>
    <col min="1" max="1" width="12.88671875" customWidth="1"/>
  </cols>
  <sheetData>
    <row r="1" spans="1:1" x14ac:dyDescent="0.3">
      <c r="A1" t="s">
        <v>330</v>
      </c>
    </row>
    <row r="2" spans="1:1" x14ac:dyDescent="0.3">
      <c r="A2" t="s">
        <v>331</v>
      </c>
    </row>
    <row r="3" spans="1:1" x14ac:dyDescent="0.3">
      <c r="A3" t="s">
        <v>332</v>
      </c>
    </row>
    <row r="4" spans="1:1" x14ac:dyDescent="0.3">
      <c r="A4" t="s">
        <v>333</v>
      </c>
    </row>
    <row r="5" spans="1:1" x14ac:dyDescent="0.3">
      <c r="A5" t="s">
        <v>334</v>
      </c>
    </row>
    <row r="6" spans="1:1" x14ac:dyDescent="0.3">
      <c r="A6" t="s">
        <v>335</v>
      </c>
    </row>
    <row r="7" spans="1:1" x14ac:dyDescent="0.3">
      <c r="A7" t="s">
        <v>336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O18"/>
  <sheetViews>
    <sheetView zoomScaleNormal="100" workbookViewId="0">
      <pane ySplit="4" topLeftCell="A5" activePane="bottomLeft" state="frozen"/>
      <selection pane="bottomLeft" activeCell="A5" sqref="A5"/>
    </sheetView>
  </sheetViews>
  <sheetFormatPr baseColWidth="10" defaultColWidth="8.6640625" defaultRowHeight="14.4" x14ac:dyDescent="0.3"/>
  <cols>
    <col min="1" max="1" width="28.5546875" style="24" customWidth="1"/>
    <col min="2" max="7" width="16" style="24" customWidth="1"/>
    <col min="8" max="8" width="8.6640625" style="24"/>
    <col min="9" max="9" width="25.21875" style="24" customWidth="1"/>
    <col min="10" max="16384" width="8.6640625" style="24"/>
  </cols>
  <sheetData>
    <row r="1" spans="1:15" ht="45.75" customHeight="1" x14ac:dyDescent="0.3">
      <c r="A1" s="164" t="s">
        <v>337</v>
      </c>
      <c r="B1" s="164"/>
      <c r="C1" s="164"/>
      <c r="D1" s="164"/>
      <c r="E1" s="164"/>
      <c r="F1" s="164"/>
      <c r="G1" s="164"/>
    </row>
    <row r="2" spans="1:15" ht="45.75" customHeight="1" x14ac:dyDescent="0.3">
      <c r="A2" s="165" t="s">
        <v>338</v>
      </c>
      <c r="B2" s="165"/>
      <c r="C2" s="165"/>
      <c r="D2" s="165"/>
      <c r="E2" s="165"/>
      <c r="F2" s="165"/>
      <c r="G2" s="165"/>
    </row>
    <row r="4" spans="1:15" ht="45.75" customHeight="1" x14ac:dyDescent="0.3">
      <c r="A4" s="25" t="s">
        <v>339</v>
      </c>
      <c r="B4" s="26" t="s">
        <v>331</v>
      </c>
      <c r="C4" s="26" t="s">
        <v>332</v>
      </c>
      <c r="D4" s="26" t="s">
        <v>333</v>
      </c>
      <c r="E4" s="26" t="s">
        <v>334</v>
      </c>
      <c r="F4" s="26" t="s">
        <v>335</v>
      </c>
      <c r="G4" s="26" t="s">
        <v>336</v>
      </c>
      <c r="I4" s="166" t="s">
        <v>340</v>
      </c>
      <c r="J4" s="166"/>
      <c r="K4" s="166"/>
      <c r="L4" s="166"/>
      <c r="M4" s="166"/>
      <c r="N4" s="166"/>
      <c r="O4" s="166"/>
    </row>
    <row r="5" spans="1:15" ht="45.75" customHeight="1" x14ac:dyDescent="0.3">
      <c r="A5" s="27" t="s">
        <v>341</v>
      </c>
      <c r="B5" s="28" t="s">
        <v>342</v>
      </c>
      <c r="C5" s="28" t="s">
        <v>343</v>
      </c>
      <c r="D5" s="28" t="s">
        <v>344</v>
      </c>
      <c r="E5" s="28" t="s">
        <v>345</v>
      </c>
      <c r="F5" s="28" t="s">
        <v>346</v>
      </c>
      <c r="G5" s="28" t="s">
        <v>347</v>
      </c>
      <c r="I5" s="29" t="s">
        <v>330</v>
      </c>
      <c r="J5" s="167" t="s">
        <v>348</v>
      </c>
      <c r="K5" s="167"/>
      <c r="L5" s="167"/>
      <c r="M5" s="167"/>
      <c r="N5" s="167"/>
      <c r="O5" s="167"/>
    </row>
    <row r="6" spans="1:15" ht="45.75" customHeight="1" x14ac:dyDescent="0.3">
      <c r="A6" s="27" t="s">
        <v>349</v>
      </c>
      <c r="B6" s="30" t="s">
        <v>350</v>
      </c>
      <c r="C6" s="30" t="s">
        <v>351</v>
      </c>
      <c r="D6" s="30" t="s">
        <v>352</v>
      </c>
      <c r="E6" s="30" t="s">
        <v>353</v>
      </c>
      <c r="F6" s="30" t="s">
        <v>354</v>
      </c>
      <c r="G6" s="30" t="s">
        <v>355</v>
      </c>
      <c r="I6" s="31" t="s">
        <v>331</v>
      </c>
      <c r="J6" s="168" t="s">
        <v>356</v>
      </c>
      <c r="K6" s="168"/>
      <c r="L6" s="168"/>
      <c r="M6" s="168"/>
      <c r="N6" s="168"/>
      <c r="O6" s="168"/>
    </row>
    <row r="7" spans="1:15" ht="45.75" customHeight="1" x14ac:dyDescent="0.3">
      <c r="A7" s="27" t="s">
        <v>357</v>
      </c>
      <c r="B7" s="28" t="s">
        <v>358</v>
      </c>
      <c r="C7" s="28" t="s">
        <v>359</v>
      </c>
      <c r="D7" s="28" t="s">
        <v>360</v>
      </c>
      <c r="E7" s="28" t="s">
        <v>361</v>
      </c>
      <c r="F7" s="28" t="s">
        <v>362</v>
      </c>
      <c r="G7" s="28" t="s">
        <v>363</v>
      </c>
      <c r="I7" s="31" t="s">
        <v>332</v>
      </c>
      <c r="J7" s="167" t="s">
        <v>364</v>
      </c>
      <c r="K7" s="167"/>
      <c r="L7" s="167"/>
      <c r="M7" s="167"/>
      <c r="N7" s="167"/>
      <c r="O7" s="167"/>
    </row>
    <row r="8" spans="1:15" ht="45.75" customHeight="1" x14ac:dyDescent="0.3">
      <c r="A8" s="27" t="s">
        <v>365</v>
      </c>
      <c r="B8" s="30" t="s">
        <v>366</v>
      </c>
      <c r="C8" s="30" t="s">
        <v>367</v>
      </c>
      <c r="D8" s="30" t="s">
        <v>368</v>
      </c>
      <c r="E8" s="30" t="s">
        <v>369</v>
      </c>
      <c r="F8" s="30" t="s">
        <v>370</v>
      </c>
      <c r="G8" s="30" t="s">
        <v>371</v>
      </c>
      <c r="I8" s="31" t="s">
        <v>333</v>
      </c>
      <c r="J8" s="168" t="s">
        <v>372</v>
      </c>
      <c r="K8" s="168"/>
      <c r="L8" s="168"/>
      <c r="M8" s="168"/>
      <c r="N8" s="168"/>
      <c r="O8" s="168"/>
    </row>
    <row r="9" spans="1:15" ht="45.75" customHeight="1" x14ac:dyDescent="0.3">
      <c r="I9" s="31" t="s">
        <v>334</v>
      </c>
      <c r="J9" s="167" t="s">
        <v>373</v>
      </c>
      <c r="K9" s="167"/>
      <c r="L9" s="167"/>
      <c r="M9" s="167"/>
      <c r="N9" s="167"/>
      <c r="O9" s="167"/>
    </row>
    <row r="10" spans="1:15" ht="45.75" customHeight="1" x14ac:dyDescent="0.3">
      <c r="I10" s="31" t="s">
        <v>335</v>
      </c>
      <c r="J10" s="168" t="s">
        <v>374</v>
      </c>
      <c r="K10" s="168"/>
      <c r="L10" s="168"/>
      <c r="M10" s="168"/>
      <c r="N10" s="168"/>
      <c r="O10" s="168"/>
    </row>
    <row r="11" spans="1:15" ht="45.75" customHeight="1" x14ac:dyDescent="0.3">
      <c r="I11" s="32" t="s">
        <v>336</v>
      </c>
    </row>
    <row r="18" spans="1:7" ht="45.75" customHeight="1" x14ac:dyDescent="0.3">
      <c r="A18" s="169" t="s">
        <v>375</v>
      </c>
      <c r="B18" s="169"/>
      <c r="C18" s="169"/>
      <c r="D18" s="169"/>
      <c r="E18" s="169"/>
      <c r="F18" s="169"/>
      <c r="G18" s="169"/>
    </row>
  </sheetData>
  <mergeCells count="10">
    <mergeCell ref="J7:O7"/>
    <mergeCell ref="J8:O8"/>
    <mergeCell ref="J9:O9"/>
    <mergeCell ref="J10:O10"/>
    <mergeCell ref="A18:G18"/>
    <mergeCell ref="A1:G1"/>
    <mergeCell ref="A2:G2"/>
    <mergeCell ref="I4:O4"/>
    <mergeCell ref="J5:O5"/>
    <mergeCell ref="J6:O6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D9"/>
  <sheetViews>
    <sheetView zoomScaleNormal="100" workbookViewId="0">
      <pane ySplit="3" topLeftCell="A4" activePane="bottomLeft" state="frozen"/>
      <selection pane="bottomLeft" activeCell="C4" sqref="C4"/>
    </sheetView>
  </sheetViews>
  <sheetFormatPr baseColWidth="10" defaultColWidth="10.5546875" defaultRowHeight="14.4" x14ac:dyDescent="0.3"/>
  <cols>
    <col min="2" max="2" width="25" customWidth="1"/>
    <col min="3" max="3" width="31.5546875" customWidth="1"/>
    <col min="4" max="4" width="53.21875" customWidth="1"/>
  </cols>
  <sheetData>
    <row r="1" spans="1:4" ht="28.5" customHeight="1" x14ac:dyDescent="0.3">
      <c r="A1" s="170" t="s">
        <v>376</v>
      </c>
      <c r="B1" s="170"/>
      <c r="C1" s="170"/>
      <c r="D1" s="170"/>
    </row>
    <row r="2" spans="1:4" ht="39.75" customHeight="1" x14ac:dyDescent="0.3">
      <c r="A2" s="171" t="s">
        <v>377</v>
      </c>
      <c r="B2" s="171"/>
      <c r="C2" s="171"/>
      <c r="D2" s="171"/>
    </row>
    <row r="3" spans="1:4" ht="30" customHeight="1" x14ac:dyDescent="0.3">
      <c r="A3" s="33" t="s">
        <v>378</v>
      </c>
      <c r="B3" s="33" t="s">
        <v>379</v>
      </c>
      <c r="C3" s="33" t="s">
        <v>380</v>
      </c>
      <c r="D3" s="33" t="s">
        <v>381</v>
      </c>
    </row>
    <row r="4" spans="1:4" s="35" customFormat="1" ht="92.25" customHeight="1" x14ac:dyDescent="0.3">
      <c r="A4" s="34" t="s">
        <v>382</v>
      </c>
      <c r="B4" s="21" t="s">
        <v>383</v>
      </c>
      <c r="C4" s="21" t="s">
        <v>384</v>
      </c>
      <c r="D4" s="22" t="s">
        <v>385</v>
      </c>
    </row>
    <row r="5" spans="1:4" s="35" customFormat="1" ht="92.25" customHeight="1" x14ac:dyDescent="0.3">
      <c r="A5" s="36" t="s">
        <v>386</v>
      </c>
      <c r="B5" s="36" t="s">
        <v>387</v>
      </c>
      <c r="C5" s="36" t="s">
        <v>388</v>
      </c>
      <c r="D5" s="37" t="s">
        <v>389</v>
      </c>
    </row>
    <row r="6" spans="1:4" s="35" customFormat="1" ht="92.25" customHeight="1" x14ac:dyDescent="0.3">
      <c r="A6" s="34" t="s">
        <v>390</v>
      </c>
      <c r="B6" s="21" t="s">
        <v>391</v>
      </c>
      <c r="C6" s="21" t="s">
        <v>392</v>
      </c>
      <c r="D6" s="22" t="s">
        <v>393</v>
      </c>
    </row>
    <row r="7" spans="1:4" s="35" customFormat="1" ht="92.25" customHeight="1" x14ac:dyDescent="0.3">
      <c r="A7" s="36" t="s">
        <v>394</v>
      </c>
      <c r="B7" s="36" t="s">
        <v>395</v>
      </c>
      <c r="C7" s="36" t="s">
        <v>396</v>
      </c>
      <c r="D7" s="37" t="s">
        <v>397</v>
      </c>
    </row>
    <row r="8" spans="1:4" x14ac:dyDescent="0.3">
      <c r="A8" s="38"/>
      <c r="B8" s="38"/>
      <c r="C8" s="38"/>
      <c r="D8" s="38"/>
    </row>
    <row r="9" spans="1:4" ht="47.25" customHeight="1" x14ac:dyDescent="0.3">
      <c r="A9" s="172" t="s">
        <v>398</v>
      </c>
      <c r="B9" s="172"/>
      <c r="C9" s="172"/>
      <c r="D9" s="172"/>
    </row>
  </sheetData>
  <mergeCells count="3">
    <mergeCell ref="A1:D1"/>
    <mergeCell ref="A2:D2"/>
    <mergeCell ref="A9:D9"/>
  </mergeCells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E13"/>
  <sheetViews>
    <sheetView zoomScaleNormal="100" workbookViewId="0">
      <pane ySplit="5" topLeftCell="A6" activePane="bottomLeft" state="frozen"/>
      <selection pane="bottomLeft" activeCell="C10" sqref="C10"/>
    </sheetView>
  </sheetViews>
  <sheetFormatPr baseColWidth="10" defaultColWidth="8.6640625" defaultRowHeight="14.4" x14ac:dyDescent="0.3"/>
  <cols>
    <col min="1" max="1" width="30" style="39" customWidth="1"/>
    <col min="2" max="5" width="25.88671875" style="39" customWidth="1"/>
    <col min="6" max="16384" width="8.6640625" style="39"/>
  </cols>
  <sheetData>
    <row r="1" spans="1:5" ht="27.75" customHeight="1" x14ac:dyDescent="0.3">
      <c r="A1" s="173" t="s">
        <v>399</v>
      </c>
      <c r="B1" s="173"/>
      <c r="C1" s="173"/>
      <c r="D1" s="173"/>
      <c r="E1" s="173"/>
    </row>
    <row r="2" spans="1:5" ht="55.5" customHeight="1" x14ac:dyDescent="0.3">
      <c r="A2" s="165" t="s">
        <v>400</v>
      </c>
      <c r="B2" s="165"/>
      <c r="C2" s="165"/>
      <c r="D2" s="165"/>
      <c r="E2" s="165"/>
    </row>
    <row r="3" spans="1:5" ht="27.75" customHeight="1" x14ac:dyDescent="0.3">
      <c r="A3" s="174" t="s">
        <v>401</v>
      </c>
      <c r="B3" s="174"/>
      <c r="C3" s="174"/>
      <c r="D3" s="174"/>
      <c r="E3" s="174"/>
    </row>
    <row r="5" spans="1:5" ht="27.75" customHeight="1" x14ac:dyDescent="0.3">
      <c r="A5" s="40" t="s">
        <v>402</v>
      </c>
      <c r="B5" s="41" t="s">
        <v>403</v>
      </c>
      <c r="C5" s="41" t="s">
        <v>404</v>
      </c>
      <c r="D5" s="41" t="s">
        <v>405</v>
      </c>
      <c r="E5" s="41" t="s">
        <v>406</v>
      </c>
    </row>
    <row r="6" spans="1:5" ht="27.75" customHeight="1" x14ac:dyDescent="0.3">
      <c r="A6" s="42" t="s">
        <v>331</v>
      </c>
      <c r="B6" s="43" t="s">
        <v>407</v>
      </c>
      <c r="C6" s="44"/>
      <c r="D6" s="44"/>
      <c r="E6" s="44"/>
    </row>
    <row r="7" spans="1:5" ht="27.75" customHeight="1" x14ac:dyDescent="0.3">
      <c r="A7" s="42" t="s">
        <v>332</v>
      </c>
      <c r="B7" s="43" t="s">
        <v>407</v>
      </c>
      <c r="C7" s="45"/>
      <c r="D7" s="46" t="s">
        <v>408</v>
      </c>
      <c r="E7" s="45"/>
    </row>
    <row r="8" spans="1:5" ht="27.75" customHeight="1" x14ac:dyDescent="0.3">
      <c r="A8" s="42" t="s">
        <v>333</v>
      </c>
      <c r="B8" s="43" t="s">
        <v>407</v>
      </c>
      <c r="C8" s="44"/>
      <c r="D8" s="44"/>
      <c r="E8" s="43" t="s">
        <v>407</v>
      </c>
    </row>
    <row r="9" spans="1:5" ht="27.75" customHeight="1" x14ac:dyDescent="0.3">
      <c r="A9" s="42" t="s">
        <v>334</v>
      </c>
      <c r="B9" s="43" t="s">
        <v>407</v>
      </c>
      <c r="C9" s="45"/>
      <c r="D9" s="46" t="s">
        <v>408</v>
      </c>
      <c r="E9" s="46" t="s">
        <v>408</v>
      </c>
    </row>
    <row r="10" spans="1:5" ht="27.75" customHeight="1" x14ac:dyDescent="0.3">
      <c r="A10" s="42" t="s">
        <v>335</v>
      </c>
      <c r="B10" s="43" t="s">
        <v>407</v>
      </c>
      <c r="C10" s="46" t="s">
        <v>408</v>
      </c>
      <c r="D10" s="43" t="s">
        <v>407</v>
      </c>
      <c r="E10" s="43" t="s">
        <v>407</v>
      </c>
    </row>
    <row r="11" spans="1:5" ht="27.75" customHeight="1" x14ac:dyDescent="0.3">
      <c r="A11" s="42" t="s">
        <v>336</v>
      </c>
      <c r="B11" s="43" t="s">
        <v>407</v>
      </c>
      <c r="C11" s="46" t="s">
        <v>408</v>
      </c>
      <c r="D11" s="43" t="s">
        <v>407</v>
      </c>
      <c r="E11" s="43" t="s">
        <v>407</v>
      </c>
    </row>
    <row r="13" spans="1:5" ht="27.75" customHeight="1" x14ac:dyDescent="0.3">
      <c r="A13" s="169" t="s">
        <v>409</v>
      </c>
      <c r="B13" s="169"/>
      <c r="C13" s="169"/>
      <c r="D13" s="169"/>
      <c r="E13" s="169"/>
    </row>
  </sheetData>
  <mergeCells count="4">
    <mergeCell ref="A1:E1"/>
    <mergeCell ref="A2:E2"/>
    <mergeCell ref="A3:E3"/>
    <mergeCell ref="A13:E1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BE3D6"/>
  </sheetPr>
  <dimension ref="A1:G15"/>
  <sheetViews>
    <sheetView zoomScaleNormal="100" workbookViewId="0">
      <pane ySplit="4" topLeftCell="A5" activePane="bottomLeft" state="frozen"/>
      <selection pane="bottomLeft" activeCell="A2" sqref="A2"/>
    </sheetView>
  </sheetViews>
  <sheetFormatPr baseColWidth="10" defaultColWidth="11.5546875" defaultRowHeight="15" x14ac:dyDescent="0.3"/>
  <cols>
    <col min="1" max="1" width="11.5546875" style="19"/>
    <col min="2" max="2" width="26.88671875" style="19" customWidth="1"/>
    <col min="3" max="3" width="54.21875" style="19" customWidth="1"/>
    <col min="4" max="4" width="23.88671875" style="19" customWidth="1"/>
    <col min="5" max="5" width="27.6640625" style="47" customWidth="1"/>
    <col min="6" max="6" width="11.5546875" style="48"/>
    <col min="7" max="7" width="28" customWidth="1"/>
    <col min="8" max="16384" width="11.5546875" style="48"/>
  </cols>
  <sheetData>
    <row r="1" spans="1:7" ht="50.25" customHeight="1" x14ac:dyDescent="0.25">
      <c r="A1" s="175" t="s">
        <v>410</v>
      </c>
      <c r="B1" s="175"/>
      <c r="C1" s="175"/>
      <c r="D1" s="175"/>
      <c r="E1" s="175"/>
      <c r="G1" s="49" t="s">
        <v>117</v>
      </c>
    </row>
    <row r="2" spans="1:7" ht="50.25" customHeight="1" x14ac:dyDescent="0.25">
      <c r="A2" s="176" t="s">
        <v>411</v>
      </c>
      <c r="B2" s="176"/>
      <c r="C2" s="176"/>
      <c r="D2" s="176"/>
      <c r="E2" s="176"/>
      <c r="G2" s="50" t="s">
        <v>118</v>
      </c>
    </row>
    <row r="3" spans="1:7" s="51" customFormat="1" ht="50.25" customHeight="1" x14ac:dyDescent="0.25">
      <c r="A3" s="19"/>
      <c r="B3" s="19"/>
      <c r="C3" s="19"/>
      <c r="D3" s="19"/>
      <c r="E3" s="47"/>
      <c r="G3" s="50" t="s">
        <v>119</v>
      </c>
    </row>
    <row r="4" spans="1:7" ht="50.25" customHeight="1" x14ac:dyDescent="0.25">
      <c r="A4" s="52" t="s">
        <v>412</v>
      </c>
      <c r="B4" s="53" t="s">
        <v>413</v>
      </c>
      <c r="C4" s="54" t="s">
        <v>414</v>
      </c>
      <c r="D4" s="52" t="s">
        <v>415</v>
      </c>
      <c r="E4" s="52" t="s">
        <v>117</v>
      </c>
      <c r="G4" s="50" t="s">
        <v>120</v>
      </c>
    </row>
    <row r="5" spans="1:7" s="55" customFormat="1" ht="50.25" customHeight="1" x14ac:dyDescent="0.3">
      <c r="A5" s="22">
        <v>1</v>
      </c>
      <c r="B5" s="21" t="s">
        <v>416</v>
      </c>
      <c r="C5" s="22" t="s">
        <v>417</v>
      </c>
      <c r="D5" s="22" t="s">
        <v>418</v>
      </c>
      <c r="E5" s="22"/>
      <c r="G5" s="56" t="s">
        <v>121</v>
      </c>
    </row>
    <row r="6" spans="1:7" ht="63" customHeight="1" x14ac:dyDescent="0.25">
      <c r="A6" s="37">
        <v>2</v>
      </c>
      <c r="B6" s="36" t="s">
        <v>419</v>
      </c>
      <c r="C6" s="37" t="s">
        <v>420</v>
      </c>
      <c r="D6" s="37" t="s">
        <v>421</v>
      </c>
      <c r="E6" s="22"/>
      <c r="G6" s="50" t="s">
        <v>122</v>
      </c>
    </row>
    <row r="7" spans="1:7" ht="63" customHeight="1" x14ac:dyDescent="0.3">
      <c r="A7" s="22">
        <v>3</v>
      </c>
      <c r="B7" s="21" t="s">
        <v>422</v>
      </c>
      <c r="C7" s="22" t="s">
        <v>423</v>
      </c>
      <c r="D7" s="22" t="s">
        <v>424</v>
      </c>
      <c r="E7" s="22"/>
      <c r="G7" s="57"/>
    </row>
    <row r="8" spans="1:7" ht="63" customHeight="1" x14ac:dyDescent="0.3">
      <c r="A8" s="37">
        <v>4</v>
      </c>
      <c r="B8" s="36" t="s">
        <v>425</v>
      </c>
      <c r="C8" s="37" t="s">
        <v>426</v>
      </c>
      <c r="D8" s="37" t="s">
        <v>427</v>
      </c>
      <c r="E8" s="58"/>
    </row>
    <row r="9" spans="1:7" ht="63" customHeight="1" x14ac:dyDescent="0.3">
      <c r="A9" s="22">
        <v>5</v>
      </c>
      <c r="B9" s="21" t="s">
        <v>428</v>
      </c>
      <c r="C9" s="22" t="s">
        <v>429</v>
      </c>
      <c r="D9" s="22" t="s">
        <v>430</v>
      </c>
      <c r="E9" s="22"/>
    </row>
    <row r="10" spans="1:7" ht="63" customHeight="1" x14ac:dyDescent="0.3">
      <c r="A10" s="37">
        <v>6</v>
      </c>
      <c r="B10" s="36" t="s">
        <v>431</v>
      </c>
      <c r="C10" s="37" t="s">
        <v>432</v>
      </c>
      <c r="D10" s="37" t="s">
        <v>433</v>
      </c>
      <c r="E10" s="22"/>
    </row>
    <row r="11" spans="1:7" ht="63" customHeight="1" x14ac:dyDescent="0.3">
      <c r="A11" s="22">
        <v>7</v>
      </c>
      <c r="B11" s="21" t="s">
        <v>434</v>
      </c>
      <c r="C11" s="22" t="s">
        <v>435</v>
      </c>
      <c r="D11" s="22" t="s">
        <v>436</v>
      </c>
      <c r="E11" s="22"/>
    </row>
    <row r="12" spans="1:7" ht="63" customHeight="1" x14ac:dyDescent="0.3">
      <c r="A12" s="37">
        <v>8</v>
      </c>
      <c r="B12" s="36" t="s">
        <v>437</v>
      </c>
      <c r="C12" s="37" t="s">
        <v>438</v>
      </c>
      <c r="D12" s="37" t="s">
        <v>439</v>
      </c>
      <c r="E12" s="22"/>
    </row>
    <row r="13" spans="1:7" ht="63" customHeight="1" x14ac:dyDescent="0.3"/>
    <row r="14" spans="1:7" ht="50.25" customHeight="1" x14ac:dyDescent="0.3">
      <c r="A14" s="177" t="s">
        <v>440</v>
      </c>
      <c r="B14" s="177"/>
      <c r="C14" s="177"/>
      <c r="D14" s="177"/>
      <c r="E14" s="177"/>
    </row>
    <row r="15" spans="1:7" ht="50.25" customHeight="1" x14ac:dyDescent="0.3">
      <c r="A15" s="177"/>
      <c r="B15" s="177"/>
      <c r="C15" s="177"/>
      <c r="D15" s="177"/>
      <c r="E15" s="177"/>
    </row>
  </sheetData>
  <mergeCells count="3">
    <mergeCell ref="A1:E1"/>
    <mergeCell ref="A2:E2"/>
    <mergeCell ref="A14:E15"/>
  </mergeCells>
  <dataValidations count="2">
    <dataValidation type="list" allowBlank="1" showInputMessage="1" showErrorMessage="1" sqref="E5:E12" xr:uid="{00000000-0002-0000-0600-000000000000}">
      <formula1>$G$2:$G$7</formula1>
      <formula2>0</formula2>
    </dataValidation>
    <dataValidation type="list" allowBlank="1" showInputMessage="1" showErrorMessage="1" sqref="G2:G6" xr:uid="{00000000-0002-0000-0600-000001000000}">
      <formula1>RelevanzListe</formula1>
      <formula2>0</formula2>
    </dataValidation>
  </dataValidations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A6CAEC"/>
  </sheetPr>
  <dimension ref="A1:G16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8" sqref="A8"/>
    </sheetView>
  </sheetViews>
  <sheetFormatPr baseColWidth="10" defaultColWidth="11.5546875" defaultRowHeight="15" x14ac:dyDescent="0.3"/>
  <cols>
    <col min="1" max="1" width="11.5546875" style="19"/>
    <col min="2" max="2" width="26.88671875" style="59" customWidth="1"/>
    <col min="3" max="3" width="47.109375" style="60" customWidth="1"/>
    <col min="4" max="4" width="38.33203125" style="19" customWidth="1"/>
    <col min="5" max="5" width="27.6640625" style="47" customWidth="1"/>
    <col min="6" max="6" width="11.5546875" style="48"/>
    <col min="7" max="7" width="28" customWidth="1"/>
    <col min="8" max="9" width="29.88671875" style="61" customWidth="1"/>
    <col min="10" max="16384" width="11.5546875" style="61"/>
  </cols>
  <sheetData>
    <row r="1" spans="1:7" ht="39.75" customHeight="1" x14ac:dyDescent="0.25">
      <c r="A1" s="178" t="s">
        <v>441</v>
      </c>
      <c r="B1" s="178"/>
      <c r="C1" s="178"/>
      <c r="D1" s="178"/>
      <c r="E1" s="178"/>
      <c r="G1" s="49" t="s">
        <v>117</v>
      </c>
    </row>
    <row r="2" spans="1:7" x14ac:dyDescent="0.25">
      <c r="A2" s="176" t="s">
        <v>442</v>
      </c>
      <c r="B2" s="176"/>
      <c r="C2" s="176"/>
      <c r="D2" s="176"/>
      <c r="E2" s="176"/>
      <c r="G2" s="50" t="s">
        <v>118</v>
      </c>
    </row>
    <row r="3" spans="1:7" s="62" customFormat="1" ht="17.25" customHeight="1" x14ac:dyDescent="0.25">
      <c r="A3" s="19"/>
      <c r="B3" s="59"/>
      <c r="C3" s="60"/>
      <c r="D3" s="19"/>
      <c r="E3" s="47"/>
      <c r="F3" s="51"/>
      <c r="G3" s="50" t="s">
        <v>119</v>
      </c>
    </row>
    <row r="4" spans="1:7" ht="15" customHeight="1" x14ac:dyDescent="0.25">
      <c r="A4" s="52" t="s">
        <v>412</v>
      </c>
      <c r="B4" s="53" t="s">
        <v>443</v>
      </c>
      <c r="C4" s="54" t="s">
        <v>444</v>
      </c>
      <c r="D4" s="52" t="s">
        <v>445</v>
      </c>
      <c r="E4" s="52" t="s">
        <v>117</v>
      </c>
      <c r="G4" s="50" t="s">
        <v>120</v>
      </c>
    </row>
    <row r="5" spans="1:7" s="51" customFormat="1" ht="62.25" customHeight="1" x14ac:dyDescent="0.3">
      <c r="A5" s="34" t="s">
        <v>446</v>
      </c>
      <c r="B5" s="21" t="s">
        <v>268</v>
      </c>
      <c r="C5" s="22" t="s">
        <v>447</v>
      </c>
      <c r="D5" s="22" t="s">
        <v>448</v>
      </c>
      <c r="E5" s="22" t="s">
        <v>121</v>
      </c>
      <c r="F5" s="55"/>
      <c r="G5" s="56" t="s">
        <v>121</v>
      </c>
    </row>
    <row r="6" spans="1:7" s="48" customFormat="1" ht="90.75" customHeight="1" x14ac:dyDescent="0.25">
      <c r="A6" s="63" t="s">
        <v>449</v>
      </c>
      <c r="B6" s="36" t="s">
        <v>450</v>
      </c>
      <c r="C6" s="37" t="s">
        <v>451</v>
      </c>
      <c r="D6" s="37" t="s">
        <v>452</v>
      </c>
      <c r="E6" s="22" t="s">
        <v>119</v>
      </c>
      <c r="G6" s="50" t="s">
        <v>122</v>
      </c>
    </row>
    <row r="7" spans="1:7" s="48" customFormat="1" ht="90.75" customHeight="1" x14ac:dyDescent="0.3">
      <c r="A7" s="21" t="s">
        <v>453</v>
      </c>
      <c r="B7" s="21" t="s">
        <v>454</v>
      </c>
      <c r="C7" s="22" t="s">
        <v>455</v>
      </c>
      <c r="D7" s="22" t="s">
        <v>456</v>
      </c>
      <c r="E7" s="22" t="s">
        <v>121</v>
      </c>
      <c r="G7" s="57"/>
    </row>
    <row r="8" spans="1:7" s="48" customFormat="1" ht="90.75" customHeight="1" x14ac:dyDescent="0.25">
      <c r="A8" s="36" t="s">
        <v>457</v>
      </c>
      <c r="B8" s="36" t="s">
        <v>273</v>
      </c>
      <c r="C8" s="37" t="s">
        <v>458</v>
      </c>
      <c r="D8" s="37" t="s">
        <v>459</v>
      </c>
      <c r="E8" s="58" t="s">
        <v>120</v>
      </c>
    </row>
    <row r="9" spans="1:7" s="48" customFormat="1" ht="90.75" customHeight="1" x14ac:dyDescent="0.25">
      <c r="A9" s="21" t="s">
        <v>460</v>
      </c>
      <c r="B9" s="21" t="s">
        <v>278</v>
      </c>
      <c r="C9" s="22" t="s">
        <v>461</v>
      </c>
      <c r="D9" s="22" t="s">
        <v>459</v>
      </c>
      <c r="E9" s="22" t="s">
        <v>120</v>
      </c>
    </row>
    <row r="10" spans="1:7" s="48" customFormat="1" ht="90.75" customHeight="1" x14ac:dyDescent="0.25">
      <c r="A10" s="36" t="s">
        <v>462</v>
      </c>
      <c r="B10" s="36" t="s">
        <v>463</v>
      </c>
      <c r="C10" s="37" t="s">
        <v>464</v>
      </c>
      <c r="D10" s="37" t="s">
        <v>465</v>
      </c>
      <c r="E10" s="22" t="s">
        <v>120</v>
      </c>
    </row>
    <row r="11" spans="1:7" s="48" customFormat="1" ht="90.75" customHeight="1" x14ac:dyDescent="0.25">
      <c r="A11" s="21" t="s">
        <v>466</v>
      </c>
      <c r="B11" s="21" t="s">
        <v>467</v>
      </c>
      <c r="C11" s="22" t="s">
        <v>468</v>
      </c>
      <c r="D11" s="22" t="s">
        <v>459</v>
      </c>
      <c r="E11" s="22" t="s">
        <v>122</v>
      </c>
    </row>
    <row r="12" spans="1:7" s="48" customFormat="1" ht="90.75" customHeight="1" x14ac:dyDescent="0.25">
      <c r="A12" s="36" t="s">
        <v>469</v>
      </c>
      <c r="B12" s="36" t="s">
        <v>286</v>
      </c>
      <c r="C12" s="37" t="s">
        <v>470</v>
      </c>
      <c r="D12" s="37" t="s">
        <v>471</v>
      </c>
      <c r="E12" s="22" t="s">
        <v>122</v>
      </c>
    </row>
    <row r="13" spans="1:7" s="48" customFormat="1" ht="90.75" customHeight="1" x14ac:dyDescent="0.25">
      <c r="A13" s="34" t="s">
        <v>472</v>
      </c>
      <c r="B13" s="21" t="s">
        <v>473</v>
      </c>
      <c r="C13" s="22" t="s">
        <v>468</v>
      </c>
      <c r="D13" s="22" t="s">
        <v>459</v>
      </c>
      <c r="E13" s="22" t="s">
        <v>120</v>
      </c>
    </row>
    <row r="14" spans="1:7" s="48" customFormat="1" ht="90.75" customHeight="1" x14ac:dyDescent="0.25">
      <c r="A14" s="61"/>
      <c r="B14" s="61"/>
      <c r="C14" s="61"/>
      <c r="D14" s="61"/>
      <c r="E14" s="61"/>
    </row>
    <row r="15" spans="1:7" ht="14.25" customHeight="1" x14ac:dyDescent="0.3">
      <c r="A15" s="179" t="s">
        <v>474</v>
      </c>
      <c r="B15" s="179"/>
      <c r="C15" s="179"/>
      <c r="D15" s="179"/>
      <c r="E15" s="179"/>
    </row>
    <row r="16" spans="1:7" ht="28.5" customHeight="1" x14ac:dyDescent="0.3">
      <c r="A16" s="65"/>
      <c r="B16" s="65"/>
      <c r="C16" s="65"/>
      <c r="D16" s="65"/>
    </row>
  </sheetData>
  <mergeCells count="3">
    <mergeCell ref="A1:E1"/>
    <mergeCell ref="A2:E2"/>
    <mergeCell ref="A15:E15"/>
  </mergeCells>
  <dataValidations count="2">
    <dataValidation type="list" allowBlank="1" showInputMessage="1" showErrorMessage="1" sqref="G2:G6" xr:uid="{00000000-0002-0000-0700-000000000000}">
      <formula1>RelevanzListe</formula1>
      <formula2>0</formula2>
    </dataValidation>
    <dataValidation type="list" allowBlank="1" showInputMessage="1" showErrorMessage="1" sqref="E5:E13" xr:uid="{00000000-0002-0000-0700-000001000000}">
      <formula1>$G$2:$G$7</formula1>
      <formula2>0</formula2>
    </dataValidation>
  </dataValidations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6CAEC"/>
  </sheetPr>
  <dimension ref="A1:G15"/>
  <sheetViews>
    <sheetView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A8" sqref="A8"/>
    </sheetView>
  </sheetViews>
  <sheetFormatPr baseColWidth="10" defaultColWidth="11.5546875" defaultRowHeight="15" x14ac:dyDescent="0.3"/>
  <cols>
    <col min="1" max="1" width="11.5546875" style="19"/>
    <col min="2" max="2" width="26.88671875" style="59" customWidth="1"/>
    <col min="3" max="3" width="47.109375" style="60" customWidth="1"/>
    <col min="4" max="4" width="38.33203125" style="19" customWidth="1"/>
    <col min="5" max="5" width="27.6640625" style="47" customWidth="1"/>
    <col min="6" max="6" width="11.5546875" style="48"/>
    <col min="7" max="7" width="28" customWidth="1"/>
    <col min="8" max="16384" width="11.5546875" style="61"/>
  </cols>
  <sheetData>
    <row r="1" spans="1:7" ht="39.75" customHeight="1" x14ac:dyDescent="0.25">
      <c r="A1" s="178" t="s">
        <v>419</v>
      </c>
      <c r="B1" s="178"/>
      <c r="C1" s="178"/>
      <c r="D1" s="178"/>
      <c r="E1" s="178"/>
      <c r="G1" s="49" t="s">
        <v>117</v>
      </c>
    </row>
    <row r="2" spans="1:7" x14ac:dyDescent="0.25">
      <c r="A2" s="176" t="s">
        <v>475</v>
      </c>
      <c r="B2" s="176"/>
      <c r="C2" s="176"/>
      <c r="D2" s="176"/>
      <c r="E2" s="176"/>
      <c r="G2" s="50" t="s">
        <v>118</v>
      </c>
    </row>
    <row r="3" spans="1:7" s="62" customFormat="1" ht="30" customHeight="1" x14ac:dyDescent="0.25">
      <c r="A3" s="19"/>
      <c r="B3" s="59"/>
      <c r="C3" s="60"/>
      <c r="D3" s="19"/>
      <c r="E3" s="47"/>
      <c r="F3" s="51"/>
      <c r="G3" s="50" t="s">
        <v>119</v>
      </c>
    </row>
    <row r="4" spans="1:7" ht="15" customHeight="1" x14ac:dyDescent="0.25">
      <c r="A4" s="52" t="s">
        <v>412</v>
      </c>
      <c r="B4" s="53" t="s">
        <v>443</v>
      </c>
      <c r="C4" s="54" t="s">
        <v>444</v>
      </c>
      <c r="D4" s="52" t="s">
        <v>445</v>
      </c>
      <c r="E4" s="52" t="s">
        <v>117</v>
      </c>
      <c r="G4" s="50" t="s">
        <v>120</v>
      </c>
    </row>
    <row r="5" spans="1:7" s="62" customFormat="1" ht="30" customHeight="1" x14ac:dyDescent="0.3">
      <c r="A5" s="34" t="s">
        <v>476</v>
      </c>
      <c r="B5" s="21" t="s">
        <v>155</v>
      </c>
      <c r="C5" s="22" t="s">
        <v>477</v>
      </c>
      <c r="D5" s="22" t="s">
        <v>478</v>
      </c>
      <c r="E5" s="22" t="s">
        <v>121</v>
      </c>
      <c r="F5" s="55"/>
      <c r="G5" s="56" t="s">
        <v>121</v>
      </c>
    </row>
    <row r="6" spans="1:7" s="48" customFormat="1" ht="102" customHeight="1" x14ac:dyDescent="0.25">
      <c r="A6" s="63" t="s">
        <v>479</v>
      </c>
      <c r="B6" s="36" t="s">
        <v>480</v>
      </c>
      <c r="C6" s="37" t="s">
        <v>481</v>
      </c>
      <c r="D6" s="37" t="s">
        <v>482</v>
      </c>
      <c r="E6" s="22" t="s">
        <v>122</v>
      </c>
      <c r="G6" s="50" t="s">
        <v>122</v>
      </c>
    </row>
    <row r="7" spans="1:7" s="48" customFormat="1" ht="102" customHeight="1" x14ac:dyDescent="0.3">
      <c r="A7" s="21" t="s">
        <v>483</v>
      </c>
      <c r="B7" s="21" t="s">
        <v>484</v>
      </c>
      <c r="C7" s="22" t="s">
        <v>485</v>
      </c>
      <c r="D7" s="22" t="s">
        <v>486</v>
      </c>
      <c r="E7" s="22" t="s">
        <v>119</v>
      </c>
      <c r="G7" s="57"/>
    </row>
    <row r="8" spans="1:7" s="48" customFormat="1" ht="102" customHeight="1" x14ac:dyDescent="0.25">
      <c r="A8" s="36" t="s">
        <v>487</v>
      </c>
      <c r="B8" s="36" t="s">
        <v>150</v>
      </c>
      <c r="C8" s="37" t="s">
        <v>488</v>
      </c>
      <c r="D8" s="37" t="s">
        <v>489</v>
      </c>
      <c r="E8" s="58" t="s">
        <v>119</v>
      </c>
    </row>
    <row r="9" spans="1:7" s="48" customFormat="1" ht="102" customHeight="1" x14ac:dyDescent="0.25">
      <c r="A9" s="21" t="s">
        <v>490</v>
      </c>
      <c r="B9" s="21" t="s">
        <v>491</v>
      </c>
      <c r="C9" s="22" t="s">
        <v>492</v>
      </c>
      <c r="D9" s="22" t="s">
        <v>493</v>
      </c>
      <c r="E9" s="22" t="s">
        <v>122</v>
      </c>
    </row>
    <row r="10" spans="1:7" s="48" customFormat="1" ht="102" customHeight="1" x14ac:dyDescent="0.25">
      <c r="A10" s="36" t="s">
        <v>494</v>
      </c>
      <c r="B10" s="36" t="s">
        <v>133</v>
      </c>
      <c r="C10" s="37" t="s">
        <v>495</v>
      </c>
      <c r="D10" s="37" t="s">
        <v>496</v>
      </c>
      <c r="E10" s="22" t="s">
        <v>119</v>
      </c>
    </row>
    <row r="11" spans="1:7" s="48" customFormat="1" ht="123" customHeight="1" x14ac:dyDescent="0.25">
      <c r="A11" s="21" t="s">
        <v>497</v>
      </c>
      <c r="B11" s="21" t="s">
        <v>498</v>
      </c>
      <c r="C11" s="22" t="s">
        <v>499</v>
      </c>
      <c r="D11" s="22" t="s">
        <v>500</v>
      </c>
      <c r="E11" s="22" t="s">
        <v>122</v>
      </c>
    </row>
    <row r="12" spans="1:7" s="48" customFormat="1" ht="102" customHeight="1" x14ac:dyDescent="0.25">
      <c r="A12" s="61"/>
      <c r="B12" s="61"/>
      <c r="C12" s="61"/>
      <c r="D12" s="61"/>
      <c r="E12" s="18"/>
    </row>
    <row r="13" spans="1:7" ht="14.25" customHeight="1" x14ac:dyDescent="0.3">
      <c r="A13" s="179" t="s">
        <v>474</v>
      </c>
      <c r="B13" s="179"/>
      <c r="C13" s="179"/>
      <c r="D13" s="179"/>
      <c r="E13" s="179"/>
    </row>
    <row r="14" spans="1:7" ht="28.5" customHeight="1" x14ac:dyDescent="0.3">
      <c r="A14" s="65"/>
      <c r="B14" s="65"/>
      <c r="C14" s="65"/>
      <c r="D14" s="65"/>
      <c r="E14" s="65"/>
    </row>
    <row r="15" spans="1:7" ht="14.25" customHeight="1" x14ac:dyDescent="0.3">
      <c r="E15" s="19"/>
    </row>
  </sheetData>
  <mergeCells count="3">
    <mergeCell ref="A1:E1"/>
    <mergeCell ref="A2:E2"/>
    <mergeCell ref="A13:E13"/>
  </mergeCells>
  <dataValidations count="2">
    <dataValidation type="list" allowBlank="1" showInputMessage="1" showErrorMessage="1" sqref="G2:G6" xr:uid="{00000000-0002-0000-0800-000000000000}">
      <formula1>RelevanzListe</formula1>
      <formula2>0</formula2>
    </dataValidation>
    <dataValidation type="list" allowBlank="1" showInputMessage="1" showErrorMessage="1" sqref="E5:E12" xr:uid="{00000000-0002-0000-0800-000001000000}">
      <formula1>$G$2:$G$7</formula1>
      <formula2>0</formula2>
    </dataValidation>
  </dataValidations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A6CAEC"/>
  </sheetPr>
  <dimension ref="A1:G20"/>
  <sheetViews>
    <sheetView zoomScaleNormal="100" workbookViewId="0">
      <pane xSplit="4" ySplit="4" topLeftCell="E10" activePane="bottomRight" state="frozen"/>
      <selection pane="topRight" activeCell="E1" sqref="E1"/>
      <selection pane="bottomLeft" activeCell="A10" sqref="A10"/>
      <selection pane="bottomRight" activeCell="A8" sqref="A8"/>
    </sheetView>
  </sheetViews>
  <sheetFormatPr baseColWidth="10" defaultColWidth="11.5546875" defaultRowHeight="15" x14ac:dyDescent="0.3"/>
  <cols>
    <col min="1" max="1" width="11.5546875" style="19"/>
    <col min="2" max="2" width="26.88671875" style="59" customWidth="1"/>
    <col min="3" max="3" width="47.109375" style="60" customWidth="1"/>
    <col min="4" max="4" width="38.33203125" style="19" customWidth="1"/>
    <col min="5" max="5" width="27.6640625" style="47" customWidth="1"/>
    <col min="6" max="6" width="11.5546875" style="48"/>
    <col min="7" max="7" width="28" customWidth="1"/>
    <col min="8" max="16384" width="11.5546875" style="61"/>
  </cols>
  <sheetData>
    <row r="1" spans="1:7" ht="39.75" customHeight="1" x14ac:dyDescent="0.25">
      <c r="A1" s="178" t="s">
        <v>422</v>
      </c>
      <c r="B1" s="178"/>
      <c r="C1" s="178"/>
      <c r="D1" s="178"/>
      <c r="E1" s="178"/>
      <c r="G1" s="49" t="s">
        <v>117</v>
      </c>
    </row>
    <row r="2" spans="1:7" x14ac:dyDescent="0.25">
      <c r="A2" s="176" t="s">
        <v>501</v>
      </c>
      <c r="B2" s="176"/>
      <c r="C2" s="176"/>
      <c r="D2" s="176"/>
      <c r="E2" s="176"/>
      <c r="G2" s="50" t="s">
        <v>118</v>
      </c>
    </row>
    <row r="3" spans="1:7" s="62" customFormat="1" ht="30" customHeight="1" x14ac:dyDescent="0.25">
      <c r="A3" s="19"/>
      <c r="B3" s="59"/>
      <c r="C3" s="60"/>
      <c r="D3" s="19"/>
      <c r="E3" s="47"/>
      <c r="F3" s="51"/>
      <c r="G3" s="50" t="s">
        <v>119</v>
      </c>
    </row>
    <row r="4" spans="1:7" ht="15" customHeight="1" x14ac:dyDescent="0.25">
      <c r="A4" s="52" t="s">
        <v>412</v>
      </c>
      <c r="B4" s="53" t="s">
        <v>443</v>
      </c>
      <c r="C4" s="54" t="s">
        <v>444</v>
      </c>
      <c r="D4" s="52" t="s">
        <v>445</v>
      </c>
      <c r="E4" s="52" t="s">
        <v>117</v>
      </c>
      <c r="G4" s="50" t="s">
        <v>120</v>
      </c>
    </row>
    <row r="5" spans="1:7" s="62" customFormat="1" ht="75" customHeight="1" x14ac:dyDescent="0.3">
      <c r="A5" s="34" t="s">
        <v>502</v>
      </c>
      <c r="B5" s="21" t="s">
        <v>503</v>
      </c>
      <c r="C5" s="22" t="s">
        <v>504</v>
      </c>
      <c r="D5" s="22" t="s">
        <v>505</v>
      </c>
      <c r="E5" s="22" t="s">
        <v>118</v>
      </c>
      <c r="F5" s="55"/>
      <c r="G5" s="56" t="s">
        <v>121</v>
      </c>
    </row>
    <row r="6" spans="1:7" s="48" customFormat="1" ht="111" customHeight="1" x14ac:dyDescent="0.25">
      <c r="A6" s="63" t="s">
        <v>506</v>
      </c>
      <c r="B6" s="36" t="s">
        <v>507</v>
      </c>
      <c r="C6" s="37" t="s">
        <v>508</v>
      </c>
      <c r="D6" s="37" t="s">
        <v>509</v>
      </c>
      <c r="E6" s="22" t="s">
        <v>118</v>
      </c>
      <c r="G6" s="50" t="s">
        <v>122</v>
      </c>
    </row>
    <row r="7" spans="1:7" s="48" customFormat="1" ht="111" customHeight="1" x14ac:dyDescent="0.3">
      <c r="A7" s="21" t="s">
        <v>510</v>
      </c>
      <c r="B7" s="21" t="s">
        <v>511</v>
      </c>
      <c r="C7" s="22" t="s">
        <v>512</v>
      </c>
      <c r="D7" s="22" t="s">
        <v>509</v>
      </c>
      <c r="E7" s="22" t="s">
        <v>118</v>
      </c>
      <c r="G7" s="57"/>
    </row>
    <row r="8" spans="1:7" s="48" customFormat="1" ht="111" customHeight="1" x14ac:dyDescent="0.25">
      <c r="A8" s="36" t="s">
        <v>513</v>
      </c>
      <c r="B8" s="36" t="s">
        <v>514</v>
      </c>
      <c r="C8" s="37" t="s">
        <v>515</v>
      </c>
      <c r="D8" s="37" t="s">
        <v>516</v>
      </c>
      <c r="E8" s="58" t="s">
        <v>118</v>
      </c>
    </row>
    <row r="9" spans="1:7" s="48" customFormat="1" ht="111" customHeight="1" x14ac:dyDescent="0.25">
      <c r="A9" s="21" t="s">
        <v>517</v>
      </c>
      <c r="B9" s="21" t="s">
        <v>518</v>
      </c>
      <c r="C9" s="22" t="s">
        <v>519</v>
      </c>
      <c r="D9" s="22" t="s">
        <v>520</v>
      </c>
      <c r="E9" s="22" t="s">
        <v>118</v>
      </c>
    </row>
    <row r="10" spans="1:7" s="48" customFormat="1" ht="111" customHeight="1" x14ac:dyDescent="0.25">
      <c r="A10" s="36" t="s">
        <v>521</v>
      </c>
      <c r="B10" s="36" t="s">
        <v>522</v>
      </c>
      <c r="C10" s="37" t="s">
        <v>523</v>
      </c>
      <c r="D10" s="37" t="s">
        <v>524</v>
      </c>
      <c r="E10" s="22" t="s">
        <v>122</v>
      </c>
    </row>
    <row r="11" spans="1:7" s="48" customFormat="1" ht="111" customHeight="1" x14ac:dyDescent="0.25">
      <c r="A11" s="21" t="s">
        <v>525</v>
      </c>
      <c r="B11" s="21" t="s">
        <v>223</v>
      </c>
      <c r="C11" s="22" t="s">
        <v>526</v>
      </c>
      <c r="D11" s="22" t="s">
        <v>527</v>
      </c>
      <c r="E11" s="22" t="s">
        <v>122</v>
      </c>
    </row>
    <row r="12" spans="1:7" s="48" customFormat="1" ht="111" customHeight="1" x14ac:dyDescent="0.25">
      <c r="A12" s="34" t="s">
        <v>528</v>
      </c>
      <c r="B12" s="21" t="s">
        <v>529</v>
      </c>
      <c r="C12" s="22" t="s">
        <v>530</v>
      </c>
      <c r="D12" s="22" t="s">
        <v>531</v>
      </c>
      <c r="E12" s="22" t="s">
        <v>122</v>
      </c>
    </row>
    <row r="13" spans="1:7" ht="111" customHeight="1" x14ac:dyDescent="0.3">
      <c r="A13" s="63" t="s">
        <v>532</v>
      </c>
      <c r="B13" s="36" t="s">
        <v>228</v>
      </c>
      <c r="C13" s="37" t="s">
        <v>533</v>
      </c>
      <c r="D13" s="37" t="s">
        <v>534</v>
      </c>
      <c r="E13" s="22" t="s">
        <v>121</v>
      </c>
    </row>
    <row r="14" spans="1:7" ht="111" customHeight="1" x14ac:dyDescent="0.3">
      <c r="A14" s="21" t="s">
        <v>535</v>
      </c>
      <c r="B14" s="21" t="s">
        <v>536</v>
      </c>
      <c r="C14" s="22" t="s">
        <v>537</v>
      </c>
      <c r="D14" s="22" t="s">
        <v>538</v>
      </c>
      <c r="E14" s="22" t="s">
        <v>122</v>
      </c>
    </row>
    <row r="15" spans="1:7" ht="111" customHeight="1" x14ac:dyDescent="0.3">
      <c r="A15" s="36" t="s">
        <v>539</v>
      </c>
      <c r="B15" s="36" t="s">
        <v>540</v>
      </c>
      <c r="C15" s="37" t="s">
        <v>541</v>
      </c>
      <c r="D15" s="37" t="s">
        <v>542</v>
      </c>
      <c r="E15" s="22" t="s">
        <v>122</v>
      </c>
    </row>
    <row r="16" spans="1:7" ht="111" customHeight="1" x14ac:dyDescent="0.3">
      <c r="A16" s="21" t="s">
        <v>543</v>
      </c>
      <c r="B16" s="21" t="s">
        <v>544</v>
      </c>
      <c r="C16" s="22" t="s">
        <v>545</v>
      </c>
      <c r="D16" s="22" t="s">
        <v>546</v>
      </c>
      <c r="E16" s="22" t="s">
        <v>122</v>
      </c>
    </row>
    <row r="17" spans="1:5" ht="111" customHeight="1" x14ac:dyDescent="0.3">
      <c r="A17" s="66" t="s">
        <v>547</v>
      </c>
      <c r="B17" s="36" t="s">
        <v>548</v>
      </c>
      <c r="C17" s="37" t="s">
        <v>549</v>
      </c>
      <c r="D17" s="37" t="s">
        <v>550</v>
      </c>
      <c r="E17" s="22" t="s">
        <v>121</v>
      </c>
    </row>
    <row r="18" spans="1:5" ht="111" customHeight="1" x14ac:dyDescent="0.3">
      <c r="A18" s="61"/>
      <c r="B18" s="61"/>
      <c r="C18" s="61"/>
      <c r="D18" s="61"/>
    </row>
    <row r="19" spans="1:5" ht="14.25" customHeight="1" x14ac:dyDescent="0.3">
      <c r="A19" s="179" t="s">
        <v>551</v>
      </c>
      <c r="B19" s="179"/>
      <c r="C19" s="179"/>
      <c r="D19" s="179"/>
      <c r="E19" s="179"/>
    </row>
    <row r="20" spans="1:5" ht="27.75" customHeight="1" x14ac:dyDescent="0.3">
      <c r="A20" s="65"/>
      <c r="B20" s="65"/>
      <c r="C20" s="65"/>
      <c r="D20" s="65"/>
    </row>
  </sheetData>
  <mergeCells count="3">
    <mergeCell ref="A1:E1"/>
    <mergeCell ref="A2:E2"/>
    <mergeCell ref="A19:E19"/>
  </mergeCells>
  <dataValidations count="2">
    <dataValidation type="list" allowBlank="1" showInputMessage="1" showErrorMessage="1" sqref="G2:G6" xr:uid="{00000000-0002-0000-0900-000000000000}">
      <formula1>RelevanzListe</formula1>
      <formula2>0</formula2>
    </dataValidation>
    <dataValidation type="list" allowBlank="1" showInputMessage="1" showErrorMessage="1" sqref="E5:E17" xr:uid="{00000000-0002-0000-0900-000001000000}">
      <formula1>$G$2:$G$7</formula1>
      <formula2>0</formula2>
    </dataValidation>
  </dataValidations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A6CAEC"/>
  </sheetPr>
  <dimension ref="A1:G22"/>
  <sheetViews>
    <sheetView zoomScaleNormal="100" workbookViewId="0">
      <pane xSplit="4" ySplit="4" topLeftCell="E10" activePane="bottomRight" state="frozen"/>
      <selection pane="topRight" activeCell="E1" sqref="E1"/>
      <selection pane="bottomLeft" activeCell="A10" sqref="A10"/>
      <selection pane="bottomRight" activeCell="A8" sqref="A8"/>
    </sheetView>
  </sheetViews>
  <sheetFormatPr baseColWidth="10" defaultColWidth="11.5546875" defaultRowHeight="15" x14ac:dyDescent="0.3"/>
  <cols>
    <col min="1" max="1" width="11.5546875" style="19"/>
    <col min="2" max="2" width="26.88671875" style="59" customWidth="1"/>
    <col min="3" max="3" width="47.109375" style="60" customWidth="1"/>
    <col min="4" max="4" width="38.33203125" style="19" customWidth="1"/>
    <col min="5" max="5" width="27.6640625" style="47" customWidth="1"/>
    <col min="6" max="6" width="11.5546875" style="48"/>
    <col min="7" max="7" width="28" customWidth="1"/>
    <col min="8" max="16384" width="11.5546875" style="61"/>
  </cols>
  <sheetData>
    <row r="1" spans="1:7" ht="39.75" customHeight="1" x14ac:dyDescent="0.25">
      <c r="A1" s="178" t="s">
        <v>425</v>
      </c>
      <c r="B1" s="178"/>
      <c r="C1" s="178"/>
      <c r="D1" s="178"/>
      <c r="E1" s="178"/>
      <c r="G1" s="49" t="s">
        <v>117</v>
      </c>
    </row>
    <row r="2" spans="1:7" x14ac:dyDescent="0.25">
      <c r="A2" s="176" t="s">
        <v>552</v>
      </c>
      <c r="B2" s="176"/>
      <c r="C2" s="176"/>
      <c r="D2" s="176"/>
      <c r="E2" s="176"/>
      <c r="G2" s="50" t="s">
        <v>118</v>
      </c>
    </row>
    <row r="3" spans="1:7" s="62" customFormat="1" ht="30" customHeight="1" x14ac:dyDescent="0.25">
      <c r="A3" s="19"/>
      <c r="B3" s="59"/>
      <c r="C3" s="60"/>
      <c r="D3" s="19"/>
      <c r="E3" s="47"/>
      <c r="F3" s="51"/>
      <c r="G3" s="50" t="s">
        <v>119</v>
      </c>
    </row>
    <row r="4" spans="1:7" ht="15" customHeight="1" x14ac:dyDescent="0.25">
      <c r="A4" s="52" t="s">
        <v>412</v>
      </c>
      <c r="B4" s="53" t="s">
        <v>443</v>
      </c>
      <c r="C4" s="54" t="s">
        <v>444</v>
      </c>
      <c r="D4" s="52" t="s">
        <v>445</v>
      </c>
      <c r="E4" s="52" t="s">
        <v>117</v>
      </c>
      <c r="G4" s="50" t="s">
        <v>120</v>
      </c>
    </row>
    <row r="5" spans="1:7" s="62" customFormat="1" ht="54.75" customHeight="1" x14ac:dyDescent="0.3">
      <c r="A5" s="34" t="s">
        <v>553</v>
      </c>
      <c r="B5" s="21" t="s">
        <v>554</v>
      </c>
      <c r="C5" s="22" t="s">
        <v>555</v>
      </c>
      <c r="D5" s="22" t="s">
        <v>556</v>
      </c>
      <c r="E5" s="22" t="s">
        <v>121</v>
      </c>
      <c r="F5" s="55"/>
      <c r="G5" s="56" t="s">
        <v>121</v>
      </c>
    </row>
    <row r="6" spans="1:7" s="48" customFormat="1" ht="111" customHeight="1" x14ac:dyDescent="0.25">
      <c r="A6" s="36" t="s">
        <v>557</v>
      </c>
      <c r="B6" s="36" t="s">
        <v>558</v>
      </c>
      <c r="C6" s="37" t="s">
        <v>559</v>
      </c>
      <c r="D6" s="37" t="s">
        <v>560</v>
      </c>
      <c r="E6" s="22" t="s">
        <v>122</v>
      </c>
      <c r="G6" s="50" t="s">
        <v>122</v>
      </c>
    </row>
    <row r="7" spans="1:7" s="48" customFormat="1" ht="111" customHeight="1" x14ac:dyDescent="0.3">
      <c r="A7" s="34" t="s">
        <v>561</v>
      </c>
      <c r="B7" s="21" t="s">
        <v>562</v>
      </c>
      <c r="C7" s="22" t="s">
        <v>563</v>
      </c>
      <c r="D7" s="22" t="s">
        <v>564</v>
      </c>
      <c r="E7" s="22" t="s">
        <v>121</v>
      </c>
      <c r="G7" s="57"/>
    </row>
    <row r="8" spans="1:7" s="48" customFormat="1" ht="111" customHeight="1" x14ac:dyDescent="0.25">
      <c r="A8" s="36" t="s">
        <v>565</v>
      </c>
      <c r="B8" s="36" t="s">
        <v>159</v>
      </c>
      <c r="C8" s="37" t="s">
        <v>566</v>
      </c>
      <c r="D8" s="37" t="s">
        <v>567</v>
      </c>
      <c r="E8" s="58" t="s">
        <v>121</v>
      </c>
    </row>
    <row r="9" spans="1:7" s="48" customFormat="1" ht="111" customHeight="1" x14ac:dyDescent="0.25">
      <c r="A9" s="34" t="s">
        <v>568</v>
      </c>
      <c r="B9" s="21" t="s">
        <v>569</v>
      </c>
      <c r="C9" s="22" t="s">
        <v>570</v>
      </c>
      <c r="D9" s="22" t="s">
        <v>571</v>
      </c>
      <c r="E9" s="22" t="s">
        <v>118</v>
      </c>
    </row>
    <row r="10" spans="1:7" s="48" customFormat="1" ht="111" customHeight="1" x14ac:dyDescent="0.25">
      <c r="A10" s="36" t="s">
        <v>572</v>
      </c>
      <c r="B10" s="36" t="s">
        <v>573</v>
      </c>
      <c r="C10" s="37" t="s">
        <v>574</v>
      </c>
      <c r="D10" s="37" t="s">
        <v>575</v>
      </c>
      <c r="E10" s="22" t="s">
        <v>119</v>
      </c>
    </row>
    <row r="11" spans="1:7" s="48" customFormat="1" ht="111" customHeight="1" x14ac:dyDescent="0.25">
      <c r="A11" s="34" t="s">
        <v>576</v>
      </c>
      <c r="B11" s="21" t="s">
        <v>577</v>
      </c>
      <c r="C11" s="22" t="s">
        <v>578</v>
      </c>
      <c r="D11" s="22" t="s">
        <v>579</v>
      </c>
      <c r="E11" s="22" t="s">
        <v>119</v>
      </c>
    </row>
    <row r="12" spans="1:7" s="48" customFormat="1" ht="111" customHeight="1" x14ac:dyDescent="0.25">
      <c r="A12" s="36" t="s">
        <v>580</v>
      </c>
      <c r="B12" s="36" t="s">
        <v>239</v>
      </c>
      <c r="C12" s="37" t="s">
        <v>581</v>
      </c>
      <c r="D12" s="37" t="s">
        <v>582</v>
      </c>
      <c r="E12" s="22" t="s">
        <v>121</v>
      </c>
    </row>
    <row r="13" spans="1:7" ht="111" customHeight="1" x14ac:dyDescent="0.3">
      <c r="A13" s="34" t="s">
        <v>583</v>
      </c>
      <c r="B13" s="21" t="s">
        <v>584</v>
      </c>
      <c r="C13" s="22" t="s">
        <v>585</v>
      </c>
      <c r="D13" s="22" t="s">
        <v>586</v>
      </c>
      <c r="E13" s="22" t="s">
        <v>122</v>
      </c>
    </row>
    <row r="14" spans="1:7" ht="111" customHeight="1" x14ac:dyDescent="0.3">
      <c r="A14" s="36" t="s">
        <v>587</v>
      </c>
      <c r="B14" s="36" t="s">
        <v>588</v>
      </c>
      <c r="C14" s="37" t="s">
        <v>589</v>
      </c>
      <c r="D14" s="37" t="s">
        <v>590</v>
      </c>
      <c r="E14" s="22" t="s">
        <v>122</v>
      </c>
    </row>
    <row r="15" spans="1:7" ht="111" customHeight="1" x14ac:dyDescent="0.3">
      <c r="A15" s="34" t="s">
        <v>591</v>
      </c>
      <c r="B15" s="21" t="s">
        <v>592</v>
      </c>
      <c r="C15" s="22" t="s">
        <v>593</v>
      </c>
      <c r="D15" s="22" t="s">
        <v>594</v>
      </c>
      <c r="E15" s="22" t="s">
        <v>122</v>
      </c>
    </row>
    <row r="16" spans="1:7" ht="111" customHeight="1" x14ac:dyDescent="0.3">
      <c r="A16" s="36" t="s">
        <v>595</v>
      </c>
      <c r="B16" s="36" t="s">
        <v>596</v>
      </c>
      <c r="C16" s="37" t="s">
        <v>597</v>
      </c>
      <c r="D16" s="37" t="s">
        <v>598</v>
      </c>
      <c r="E16" s="22" t="s">
        <v>121</v>
      </c>
    </row>
    <row r="17" spans="1:5" ht="111" customHeight="1" x14ac:dyDescent="0.3">
      <c r="A17" s="34" t="s">
        <v>599</v>
      </c>
      <c r="B17" s="21" t="s">
        <v>600</v>
      </c>
      <c r="C17" s="22" t="s">
        <v>601</v>
      </c>
      <c r="D17" s="22" t="s">
        <v>602</v>
      </c>
      <c r="E17" s="22" t="s">
        <v>122</v>
      </c>
    </row>
    <row r="18" spans="1:5" ht="111" customHeight="1" x14ac:dyDescent="0.3">
      <c r="A18" s="36" t="s">
        <v>603</v>
      </c>
      <c r="B18" s="36" t="s">
        <v>243</v>
      </c>
      <c r="C18" s="37" t="s">
        <v>604</v>
      </c>
      <c r="D18" s="37" t="s">
        <v>605</v>
      </c>
      <c r="E18" s="22" t="s">
        <v>121</v>
      </c>
    </row>
    <row r="19" spans="1:5" ht="27" customHeight="1" x14ac:dyDescent="0.3">
      <c r="A19" s="34" t="s">
        <v>606</v>
      </c>
      <c r="B19" s="21" t="s">
        <v>241</v>
      </c>
      <c r="C19" s="22" t="s">
        <v>607</v>
      </c>
      <c r="D19" s="22" t="s">
        <v>608</v>
      </c>
      <c r="E19" s="22" t="s">
        <v>118</v>
      </c>
    </row>
    <row r="20" spans="1:5" ht="27.75" customHeight="1" x14ac:dyDescent="0.3">
      <c r="B20" s="65"/>
      <c r="C20" s="65"/>
      <c r="D20" s="65"/>
      <c r="E20" s="64"/>
    </row>
    <row r="21" spans="1:5" ht="90.75" customHeight="1" x14ac:dyDescent="0.3">
      <c r="A21" s="64" t="s">
        <v>609</v>
      </c>
      <c r="B21" s="64"/>
      <c r="C21" s="64"/>
      <c r="D21" s="64"/>
    </row>
    <row r="22" spans="1:5" ht="14.25" customHeight="1" x14ac:dyDescent="0.3"/>
  </sheetData>
  <mergeCells count="2">
    <mergeCell ref="A1:E1"/>
    <mergeCell ref="A2:E2"/>
  </mergeCells>
  <dataValidations count="2">
    <dataValidation type="list" allowBlank="1" showInputMessage="1" showErrorMessage="1" sqref="E5:E19" xr:uid="{00000000-0002-0000-0A00-000000000000}">
      <formula1>$G$2:$G$7</formula1>
      <formula2>0</formula2>
    </dataValidation>
    <dataValidation type="list" allowBlank="1" showInputMessage="1" showErrorMessage="1" sqref="G2:G6" xr:uid="{00000000-0002-0000-0A00-000001000000}">
      <formula1>RelevanzListe</formula1>
      <formula2>0</formula2>
    </dataValidation>
  </dataValidations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A6CAEC"/>
  </sheetPr>
  <dimension ref="A1:G18"/>
  <sheetViews>
    <sheetView zoomScaleNormal="100" workbookViewId="0">
      <pane ySplit="4" topLeftCell="A11" activePane="bottomLeft" state="frozen"/>
      <selection pane="bottomLeft" activeCell="A8" sqref="A8"/>
    </sheetView>
  </sheetViews>
  <sheetFormatPr baseColWidth="10" defaultColWidth="11.5546875" defaultRowHeight="15" x14ac:dyDescent="0.3"/>
  <cols>
    <col min="1" max="1" width="11.5546875" style="19"/>
    <col min="2" max="2" width="26.88671875" style="59" customWidth="1"/>
    <col min="3" max="3" width="47.109375" style="60" customWidth="1"/>
    <col min="4" max="4" width="38.33203125" style="19" customWidth="1"/>
    <col min="5" max="5" width="27.6640625" style="47" customWidth="1"/>
    <col min="6" max="6" width="11.5546875" style="48"/>
    <col min="7" max="7" width="28" customWidth="1"/>
    <col min="8" max="16384" width="11.5546875" style="61"/>
  </cols>
  <sheetData>
    <row r="1" spans="1:7" ht="39.75" customHeight="1" x14ac:dyDescent="0.25">
      <c r="A1" s="178" t="s">
        <v>428</v>
      </c>
      <c r="B1" s="178"/>
      <c r="C1" s="178"/>
      <c r="D1" s="178"/>
      <c r="E1" s="178"/>
      <c r="G1" s="17" t="s">
        <v>117</v>
      </c>
    </row>
    <row r="2" spans="1:7" x14ac:dyDescent="0.25">
      <c r="A2" s="176" t="s">
        <v>610</v>
      </c>
      <c r="B2" s="176"/>
      <c r="C2" s="176"/>
      <c r="D2" s="176"/>
      <c r="E2" s="176"/>
      <c r="G2" s="18" t="s">
        <v>118</v>
      </c>
    </row>
    <row r="3" spans="1:7" s="62" customFormat="1" ht="30" customHeight="1" x14ac:dyDescent="0.25">
      <c r="A3" s="19"/>
      <c r="B3" s="59"/>
      <c r="C3" s="60"/>
      <c r="D3" s="19"/>
      <c r="F3" s="51"/>
      <c r="G3" s="18" t="s">
        <v>119</v>
      </c>
    </row>
    <row r="4" spans="1:7" ht="15" customHeight="1" x14ac:dyDescent="0.25">
      <c r="A4" s="52" t="s">
        <v>412</v>
      </c>
      <c r="B4" s="53" t="s">
        <v>443</v>
      </c>
      <c r="C4" s="54" t="s">
        <v>444</v>
      </c>
      <c r="D4" s="52" t="s">
        <v>445</v>
      </c>
      <c r="E4" s="52" t="s">
        <v>117</v>
      </c>
      <c r="G4" s="18" t="s">
        <v>120</v>
      </c>
    </row>
    <row r="5" spans="1:7" s="62" customFormat="1" ht="63" customHeight="1" x14ac:dyDescent="0.3">
      <c r="A5" s="34" t="s">
        <v>611</v>
      </c>
      <c r="B5" s="21" t="s">
        <v>250</v>
      </c>
      <c r="C5" s="22" t="s">
        <v>612</v>
      </c>
      <c r="D5" s="22" t="s">
        <v>613</v>
      </c>
      <c r="E5" s="22" t="s">
        <v>118</v>
      </c>
      <c r="F5" s="55"/>
      <c r="G5" s="19" t="s">
        <v>121</v>
      </c>
    </row>
    <row r="6" spans="1:7" s="48" customFormat="1" ht="111" customHeight="1" x14ac:dyDescent="0.25">
      <c r="A6" s="36" t="s">
        <v>614</v>
      </c>
      <c r="B6" s="36" t="s">
        <v>615</v>
      </c>
      <c r="C6" s="37" t="s">
        <v>616</v>
      </c>
      <c r="D6" s="37" t="s">
        <v>617</v>
      </c>
      <c r="E6" s="22" t="s">
        <v>122</v>
      </c>
      <c r="G6" s="18" t="s">
        <v>122</v>
      </c>
    </row>
    <row r="7" spans="1:7" s="48" customFormat="1" ht="111" customHeight="1" x14ac:dyDescent="0.25">
      <c r="A7" s="34" t="s">
        <v>618</v>
      </c>
      <c r="B7" s="21" t="s">
        <v>619</v>
      </c>
      <c r="C7" s="22" t="s">
        <v>620</v>
      </c>
      <c r="D7" s="22" t="s">
        <v>621</v>
      </c>
      <c r="E7" s="58" t="s">
        <v>119</v>
      </c>
    </row>
    <row r="8" spans="1:7" s="48" customFormat="1" ht="111" customHeight="1" x14ac:dyDescent="0.25">
      <c r="A8" s="36" t="s">
        <v>622</v>
      </c>
      <c r="B8" s="36" t="s">
        <v>623</v>
      </c>
      <c r="C8" s="37" t="s">
        <v>624</v>
      </c>
      <c r="D8" s="37" t="s">
        <v>625</v>
      </c>
      <c r="E8" s="22" t="s">
        <v>121</v>
      </c>
    </row>
    <row r="9" spans="1:7" s="48" customFormat="1" ht="111" customHeight="1" x14ac:dyDescent="0.25">
      <c r="A9" s="34" t="s">
        <v>626</v>
      </c>
      <c r="B9" s="21" t="s">
        <v>627</v>
      </c>
      <c r="C9" s="22" t="s">
        <v>628</v>
      </c>
      <c r="D9" s="22" t="s">
        <v>629</v>
      </c>
      <c r="E9" s="22" t="s">
        <v>119</v>
      </c>
    </row>
    <row r="10" spans="1:7" s="48" customFormat="1" ht="111" customHeight="1" x14ac:dyDescent="0.25">
      <c r="A10" s="36" t="s">
        <v>630</v>
      </c>
      <c r="B10" s="36" t="s">
        <v>631</v>
      </c>
      <c r="C10" s="37" t="s">
        <v>632</v>
      </c>
      <c r="D10" s="37" t="s">
        <v>633</v>
      </c>
      <c r="E10" s="22" t="s">
        <v>119</v>
      </c>
    </row>
    <row r="11" spans="1:7" s="48" customFormat="1" ht="111" customHeight="1" x14ac:dyDescent="0.25">
      <c r="A11" s="34" t="s">
        <v>634</v>
      </c>
      <c r="B11" s="21" t="s">
        <v>635</v>
      </c>
      <c r="C11" s="22" t="s">
        <v>636</v>
      </c>
      <c r="D11" s="22" t="s">
        <v>637</v>
      </c>
      <c r="E11" s="22" t="s">
        <v>119</v>
      </c>
    </row>
    <row r="12" spans="1:7" s="48" customFormat="1" ht="111" customHeight="1" x14ac:dyDescent="0.25">
      <c r="A12" s="36" t="s">
        <v>638</v>
      </c>
      <c r="B12" s="36" t="s">
        <v>639</v>
      </c>
      <c r="C12" s="37" t="s">
        <v>640</v>
      </c>
      <c r="D12" s="37" t="s">
        <v>641</v>
      </c>
      <c r="E12" s="22" t="s">
        <v>119</v>
      </c>
    </row>
    <row r="13" spans="1:7" ht="111" customHeight="1" x14ac:dyDescent="0.3">
      <c r="A13" s="34" t="s">
        <v>642</v>
      </c>
      <c r="B13" s="21" t="s">
        <v>262</v>
      </c>
      <c r="C13" s="22" t="s">
        <v>643</v>
      </c>
      <c r="D13" s="22" t="s">
        <v>644</v>
      </c>
      <c r="E13" s="22" t="s">
        <v>118</v>
      </c>
    </row>
    <row r="14" spans="1:7" ht="111" customHeight="1" x14ac:dyDescent="0.3">
      <c r="A14" s="36" t="s">
        <v>645</v>
      </c>
      <c r="B14" s="36" t="s">
        <v>646</v>
      </c>
      <c r="C14" s="37" t="s">
        <v>647</v>
      </c>
      <c r="D14" s="37" t="s">
        <v>648</v>
      </c>
      <c r="E14" s="22" t="s">
        <v>122</v>
      </c>
    </row>
    <row r="15" spans="1:7" ht="111" customHeight="1" x14ac:dyDescent="0.3">
      <c r="A15" s="34" t="s">
        <v>649</v>
      </c>
      <c r="B15" s="21" t="s">
        <v>650</v>
      </c>
      <c r="C15" s="22" t="s">
        <v>651</v>
      </c>
      <c r="D15" s="22" t="s">
        <v>652</v>
      </c>
      <c r="E15" s="22"/>
    </row>
    <row r="16" spans="1:7" ht="177.75" customHeight="1" x14ac:dyDescent="0.3">
      <c r="A16" s="67"/>
      <c r="B16" s="68"/>
      <c r="C16" s="18"/>
      <c r="D16" s="18"/>
      <c r="E16" s="64"/>
    </row>
    <row r="17" spans="1:4" ht="33.75" customHeight="1" x14ac:dyDescent="0.3">
      <c r="A17" s="64" t="s">
        <v>653</v>
      </c>
      <c r="B17" s="64"/>
      <c r="C17" s="64"/>
      <c r="D17" s="64"/>
    </row>
    <row r="18" spans="1:4" ht="13.5" customHeight="1" x14ac:dyDescent="0.3">
      <c r="A18" s="65"/>
      <c r="B18" s="65"/>
      <c r="C18" s="65"/>
      <c r="D18" s="65"/>
    </row>
  </sheetData>
  <mergeCells count="2">
    <mergeCell ref="A1:E1"/>
    <mergeCell ref="A2:E2"/>
  </mergeCells>
  <dataValidations count="2">
    <dataValidation type="list" allowBlank="1" showInputMessage="1" showErrorMessage="1" sqref="G2:G6" xr:uid="{00000000-0002-0000-0B00-000000000000}">
      <formula1>RelevanzListe</formula1>
      <formula2>0</formula2>
    </dataValidation>
    <dataValidation type="list" allowBlank="1" showInputMessage="1" showErrorMessage="1" sqref="E4:E14" xr:uid="{00000000-0002-0000-0B00-000001000000}">
      <formula1>$G$2:$G$7</formula1>
      <formula2>0</formula2>
    </dataValidation>
  </dataValidations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H22"/>
  <sheetViews>
    <sheetView zoomScaleNormal="100" workbookViewId="0">
      <pane ySplit="4" topLeftCell="A13" activePane="bottomLeft" state="frozen"/>
      <selection pane="bottomLeft" activeCell="A8" sqref="A8"/>
    </sheetView>
  </sheetViews>
  <sheetFormatPr baseColWidth="10" defaultColWidth="11.5546875" defaultRowHeight="15" x14ac:dyDescent="0.3"/>
  <cols>
    <col min="1" max="1" width="11.5546875" style="19"/>
    <col min="2" max="2" width="26.88671875" style="19" customWidth="1"/>
    <col min="3" max="3" width="47.109375" style="19" customWidth="1"/>
    <col min="4" max="4" width="38.33203125" style="19" customWidth="1"/>
    <col min="5" max="5" width="24.21875" style="19" customWidth="1"/>
    <col min="6" max="6" width="27.6640625" style="47" customWidth="1"/>
    <col min="7" max="7" width="11.5546875" style="48"/>
    <col min="8" max="8" width="28" customWidth="1"/>
    <col min="9" max="16384" width="11.5546875" style="19"/>
  </cols>
  <sheetData>
    <row r="1" spans="1:8" s="61" customFormat="1" ht="24" customHeight="1" x14ac:dyDescent="0.25">
      <c r="A1" s="178" t="s">
        <v>431</v>
      </c>
      <c r="B1" s="178"/>
      <c r="C1" s="178"/>
      <c r="D1" s="178"/>
      <c r="E1" s="178"/>
      <c r="F1" s="178"/>
      <c r="G1" s="48"/>
      <c r="H1" s="17" t="s">
        <v>117</v>
      </c>
    </row>
    <row r="2" spans="1:8" s="61" customFormat="1" x14ac:dyDescent="0.25">
      <c r="A2" s="176" t="s">
        <v>654</v>
      </c>
      <c r="B2" s="176"/>
      <c r="C2" s="176"/>
      <c r="D2" s="176"/>
      <c r="E2" s="176"/>
      <c r="F2" s="176"/>
      <c r="G2" s="48"/>
      <c r="H2" s="18" t="s">
        <v>118</v>
      </c>
    </row>
    <row r="3" spans="1:8" s="62" customFormat="1" x14ac:dyDescent="0.25">
      <c r="A3" s="19"/>
      <c r="B3" s="59"/>
      <c r="C3" s="60"/>
      <c r="D3" s="19"/>
      <c r="E3" s="19"/>
      <c r="G3" s="51"/>
      <c r="H3" s="18" t="s">
        <v>119</v>
      </c>
    </row>
    <row r="4" spans="1:8" s="61" customFormat="1" ht="30.75" customHeight="1" x14ac:dyDescent="0.25">
      <c r="A4" s="52" t="s">
        <v>412</v>
      </c>
      <c r="B4" s="53" t="s">
        <v>443</v>
      </c>
      <c r="C4" s="54" t="s">
        <v>444</v>
      </c>
      <c r="D4" s="52" t="s">
        <v>655</v>
      </c>
      <c r="E4" s="52" t="s">
        <v>445</v>
      </c>
      <c r="F4" s="52" t="s">
        <v>117</v>
      </c>
      <c r="G4" s="48"/>
      <c r="H4" s="18" t="s">
        <v>120</v>
      </c>
    </row>
    <row r="5" spans="1:8" s="62" customFormat="1" ht="69" customHeight="1" x14ac:dyDescent="0.3">
      <c r="A5" s="69" t="s">
        <v>656</v>
      </c>
      <c r="B5" s="70" t="s">
        <v>165</v>
      </c>
      <c r="C5" s="71" t="s">
        <v>657</v>
      </c>
      <c r="D5" s="72" t="s">
        <v>658</v>
      </c>
      <c r="E5" s="71" t="s">
        <v>659</v>
      </c>
      <c r="F5" s="22" t="s">
        <v>119</v>
      </c>
      <c r="G5" s="55"/>
      <c r="H5" s="19" t="s">
        <v>121</v>
      </c>
    </row>
    <row r="6" spans="1:8" ht="110.25" customHeight="1" x14ac:dyDescent="0.25">
      <c r="A6" s="73" t="s">
        <v>660</v>
      </c>
      <c r="B6" s="74" t="s">
        <v>661</v>
      </c>
      <c r="C6" s="75" t="s">
        <v>662</v>
      </c>
      <c r="D6" s="76" t="s">
        <v>663</v>
      </c>
      <c r="E6" s="75" t="s">
        <v>664</v>
      </c>
      <c r="F6" s="22" t="s">
        <v>119</v>
      </c>
      <c r="H6" s="18" t="s">
        <v>122</v>
      </c>
    </row>
    <row r="7" spans="1:8" ht="54.75" customHeight="1" x14ac:dyDescent="0.3">
      <c r="A7" s="69" t="s">
        <v>665</v>
      </c>
      <c r="B7" s="70" t="s">
        <v>666</v>
      </c>
      <c r="C7" s="71" t="s">
        <v>667</v>
      </c>
      <c r="D7" s="72" t="s">
        <v>668</v>
      </c>
      <c r="E7" s="71" t="s">
        <v>669</v>
      </c>
      <c r="F7" s="22" t="s">
        <v>119</v>
      </c>
    </row>
    <row r="8" spans="1:8" ht="41.25" customHeight="1" x14ac:dyDescent="0.3">
      <c r="A8" s="73" t="s">
        <v>670</v>
      </c>
      <c r="B8" s="74" t="s">
        <v>671</v>
      </c>
      <c r="C8" s="75" t="s">
        <v>672</v>
      </c>
      <c r="D8" s="76"/>
      <c r="E8" s="75" t="s">
        <v>673</v>
      </c>
      <c r="F8" s="22" t="s">
        <v>122</v>
      </c>
    </row>
    <row r="9" spans="1:8" ht="41.25" customHeight="1" x14ac:dyDescent="0.3">
      <c r="A9" s="69" t="s">
        <v>674</v>
      </c>
      <c r="B9" s="70" t="s">
        <v>675</v>
      </c>
      <c r="C9" s="71" t="s">
        <v>676</v>
      </c>
      <c r="D9" s="72"/>
      <c r="E9" s="71" t="s">
        <v>677</v>
      </c>
      <c r="F9" s="58" t="s">
        <v>122</v>
      </c>
    </row>
    <row r="10" spans="1:8" ht="54.75" customHeight="1" x14ac:dyDescent="0.3">
      <c r="A10" s="73" t="s">
        <v>678</v>
      </c>
      <c r="B10" s="74" t="s">
        <v>679</v>
      </c>
      <c r="C10" s="75" t="s">
        <v>680</v>
      </c>
      <c r="D10" s="76" t="s">
        <v>681</v>
      </c>
      <c r="E10" s="75" t="s">
        <v>682</v>
      </c>
      <c r="F10" s="22" t="s">
        <v>119</v>
      </c>
    </row>
    <row r="11" spans="1:8" ht="41.25" customHeight="1" x14ac:dyDescent="0.3">
      <c r="A11" s="69" t="s">
        <v>683</v>
      </c>
      <c r="B11" s="70" t="s">
        <v>684</v>
      </c>
      <c r="C11" s="71" t="s">
        <v>685</v>
      </c>
      <c r="D11" s="72" t="s">
        <v>686</v>
      </c>
      <c r="E11" s="71" t="s">
        <v>687</v>
      </c>
      <c r="F11" s="22" t="s">
        <v>119</v>
      </c>
    </row>
    <row r="12" spans="1:8" ht="69" customHeight="1" x14ac:dyDescent="0.3">
      <c r="A12" s="73" t="s">
        <v>688</v>
      </c>
      <c r="B12" s="74" t="s">
        <v>689</v>
      </c>
      <c r="C12" s="75" t="s">
        <v>690</v>
      </c>
      <c r="D12" s="76" t="s">
        <v>691</v>
      </c>
      <c r="E12" s="75" t="s">
        <v>692</v>
      </c>
      <c r="F12" s="22" t="s">
        <v>119</v>
      </c>
    </row>
    <row r="13" spans="1:8" ht="69" customHeight="1" x14ac:dyDescent="0.3">
      <c r="A13" s="69" t="s">
        <v>693</v>
      </c>
      <c r="B13" s="70" t="s">
        <v>694</v>
      </c>
      <c r="C13" s="71" t="s">
        <v>695</v>
      </c>
      <c r="D13" s="72"/>
      <c r="E13" s="71" t="s">
        <v>696</v>
      </c>
      <c r="F13" s="22" t="s">
        <v>119</v>
      </c>
    </row>
    <row r="14" spans="1:8" ht="69" customHeight="1" x14ac:dyDescent="0.3">
      <c r="A14" s="73" t="s">
        <v>697</v>
      </c>
      <c r="B14" s="74" t="s">
        <v>698</v>
      </c>
      <c r="C14" s="75" t="s">
        <v>699</v>
      </c>
      <c r="D14" s="76"/>
      <c r="E14" s="75" t="s">
        <v>700</v>
      </c>
      <c r="F14" s="77" t="s">
        <v>119</v>
      </c>
    </row>
    <row r="15" spans="1:8" ht="41.25" customHeight="1" x14ac:dyDescent="0.3">
      <c r="A15" s="69" t="s">
        <v>701</v>
      </c>
      <c r="B15" s="70" t="s">
        <v>196</v>
      </c>
      <c r="C15" s="71" t="s">
        <v>702</v>
      </c>
      <c r="D15" s="72" t="s">
        <v>703</v>
      </c>
      <c r="E15" s="71" t="s">
        <v>704</v>
      </c>
      <c r="F15" s="78" t="s">
        <v>121</v>
      </c>
    </row>
    <row r="16" spans="1:8" ht="54.75" customHeight="1" x14ac:dyDescent="0.3">
      <c r="A16" s="73" t="s">
        <v>705</v>
      </c>
      <c r="B16" s="74" t="s">
        <v>202</v>
      </c>
      <c r="C16" s="75" t="s">
        <v>706</v>
      </c>
      <c r="D16" s="76" t="s">
        <v>707</v>
      </c>
      <c r="E16" s="75" t="s">
        <v>708</v>
      </c>
      <c r="F16" s="78" t="s">
        <v>121</v>
      </c>
    </row>
    <row r="17" spans="1:6" ht="54.75" customHeight="1" x14ac:dyDescent="0.3">
      <c r="A17" s="69" t="s">
        <v>709</v>
      </c>
      <c r="B17" s="70" t="s">
        <v>710</v>
      </c>
      <c r="C17" s="71" t="s">
        <v>711</v>
      </c>
      <c r="D17" s="72"/>
      <c r="E17" s="71" t="s">
        <v>712</v>
      </c>
      <c r="F17" s="77" t="s">
        <v>122</v>
      </c>
    </row>
    <row r="18" spans="1:6" ht="54.75" customHeight="1" x14ac:dyDescent="0.3">
      <c r="A18" s="73" t="s">
        <v>713</v>
      </c>
      <c r="B18" s="74" t="s">
        <v>714</v>
      </c>
      <c r="C18" s="75" t="s">
        <v>715</v>
      </c>
      <c r="D18" s="76"/>
      <c r="E18" s="75" t="s">
        <v>716</v>
      </c>
      <c r="F18" s="77" t="s">
        <v>119</v>
      </c>
    </row>
    <row r="19" spans="1:6" ht="54.75" customHeight="1" x14ac:dyDescent="0.3">
      <c r="A19" s="69" t="s">
        <v>717</v>
      </c>
      <c r="B19" s="70" t="s">
        <v>718</v>
      </c>
      <c r="C19" s="71" t="s">
        <v>719</v>
      </c>
      <c r="D19" s="72"/>
      <c r="E19" s="71" t="s">
        <v>720</v>
      </c>
      <c r="F19" s="77" t="s">
        <v>121</v>
      </c>
    </row>
    <row r="20" spans="1:6" x14ac:dyDescent="0.3">
      <c r="F20" s="77"/>
    </row>
    <row r="21" spans="1:6" ht="24" customHeight="1" x14ac:dyDescent="0.3">
      <c r="A21" s="177" t="s">
        <v>721</v>
      </c>
      <c r="B21" s="177"/>
      <c r="C21" s="177"/>
      <c r="D21" s="177"/>
      <c r="E21" s="177"/>
    </row>
    <row r="22" spans="1:6" ht="14.25" customHeight="1" x14ac:dyDescent="0.3">
      <c r="A22" s="60"/>
      <c r="B22" s="60"/>
      <c r="C22" s="60"/>
      <c r="D22" s="60"/>
      <c r="E22" s="60"/>
      <c r="F22" s="64"/>
    </row>
  </sheetData>
  <mergeCells count="3">
    <mergeCell ref="A1:F1"/>
    <mergeCell ref="A2:F2"/>
    <mergeCell ref="A21:E21"/>
  </mergeCells>
  <dataValidations count="2">
    <dataValidation type="list" allowBlank="1" showInputMessage="1" showErrorMessage="1" sqref="H2:H6" xr:uid="{00000000-0002-0000-0C00-000000000000}">
      <formula1>RelevanzListe</formula1>
      <formula2>0</formula2>
    </dataValidation>
    <dataValidation type="list" allowBlank="1" showInputMessage="1" showErrorMessage="1" sqref="F5:F20" xr:uid="{00000000-0002-0000-0C00-000001000000}">
      <formula1>$H$2:$H$7</formula1>
      <formula2>0</formula2>
    </dataValidation>
  </dataValidations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A6CAEC"/>
  </sheetPr>
  <dimension ref="A1:G21"/>
  <sheetViews>
    <sheetView zoomScaleNormal="100" workbookViewId="0">
      <pane xSplit="4" ySplit="3" topLeftCell="E13" activePane="bottomRight" state="frozen"/>
      <selection pane="topRight" activeCell="E1" sqref="E1"/>
      <selection pane="bottomLeft" activeCell="A13" sqref="A13"/>
      <selection pane="bottomRight" activeCell="A8" sqref="A8"/>
    </sheetView>
  </sheetViews>
  <sheetFormatPr baseColWidth="10" defaultColWidth="11.5546875" defaultRowHeight="15" x14ac:dyDescent="0.3"/>
  <cols>
    <col min="1" max="1" width="11.5546875" style="19"/>
    <col min="2" max="2" width="26.88671875" style="59" customWidth="1"/>
    <col min="3" max="3" width="47.109375" style="60" customWidth="1"/>
    <col min="4" max="4" width="38.33203125" style="19" customWidth="1"/>
    <col min="5" max="5" width="27.6640625" style="47" customWidth="1"/>
    <col min="6" max="6" width="11.5546875" style="48"/>
    <col min="7" max="7" width="28" customWidth="1"/>
    <col min="8" max="16384" width="11.5546875" style="61"/>
  </cols>
  <sheetData>
    <row r="1" spans="1:7" ht="39.75" customHeight="1" x14ac:dyDescent="0.25">
      <c r="A1" s="178" t="s">
        <v>722</v>
      </c>
      <c r="B1" s="178"/>
      <c r="C1" s="178"/>
      <c r="D1" s="178"/>
      <c r="E1" s="178"/>
      <c r="G1" s="17" t="s">
        <v>117</v>
      </c>
    </row>
    <row r="2" spans="1:7" x14ac:dyDescent="0.25">
      <c r="A2" s="176" t="s">
        <v>723</v>
      </c>
      <c r="B2" s="176"/>
      <c r="C2" s="176"/>
      <c r="D2" s="176"/>
      <c r="E2" s="176"/>
      <c r="G2" s="18" t="s">
        <v>118</v>
      </c>
    </row>
    <row r="3" spans="1:7" s="62" customFormat="1" ht="30" customHeight="1" x14ac:dyDescent="0.25">
      <c r="A3" s="52" t="s">
        <v>412</v>
      </c>
      <c r="B3" s="53" t="s">
        <v>443</v>
      </c>
      <c r="C3" s="54" t="s">
        <v>444</v>
      </c>
      <c r="D3" s="52" t="s">
        <v>445</v>
      </c>
      <c r="E3" s="52" t="s">
        <v>117</v>
      </c>
      <c r="F3" s="51"/>
      <c r="G3" s="18" t="s">
        <v>119</v>
      </c>
    </row>
    <row r="4" spans="1:7" ht="27" customHeight="1" x14ac:dyDescent="0.25">
      <c r="A4" s="34" t="s">
        <v>724</v>
      </c>
      <c r="B4" s="21" t="s">
        <v>294</v>
      </c>
      <c r="C4" s="22" t="s">
        <v>725</v>
      </c>
      <c r="D4" s="22" t="s">
        <v>726</v>
      </c>
      <c r="E4" s="22" t="s">
        <v>120</v>
      </c>
      <c r="G4" s="18" t="s">
        <v>120</v>
      </c>
    </row>
    <row r="5" spans="1:7" s="62" customFormat="1" ht="30" customHeight="1" x14ac:dyDescent="0.3">
      <c r="A5" s="36" t="s">
        <v>727</v>
      </c>
      <c r="B5" s="36" t="s">
        <v>300</v>
      </c>
      <c r="C5" s="37" t="s">
        <v>728</v>
      </c>
      <c r="D5" s="37" t="s">
        <v>729</v>
      </c>
      <c r="E5" s="22" t="s">
        <v>121</v>
      </c>
      <c r="F5" s="55"/>
      <c r="G5" s="19" t="s">
        <v>121</v>
      </c>
    </row>
    <row r="6" spans="1:7" s="48" customFormat="1" ht="111" customHeight="1" x14ac:dyDescent="0.25">
      <c r="A6" s="34" t="s">
        <v>730</v>
      </c>
      <c r="B6" s="21" t="s">
        <v>305</v>
      </c>
      <c r="C6" s="22" t="s">
        <v>731</v>
      </c>
      <c r="D6" s="22" t="s">
        <v>732</v>
      </c>
      <c r="E6" s="22" t="s">
        <v>119</v>
      </c>
      <c r="G6" s="18" t="s">
        <v>122</v>
      </c>
    </row>
    <row r="7" spans="1:7" s="48" customFormat="1" ht="111" customHeight="1" x14ac:dyDescent="0.25">
      <c r="A7" s="36" t="s">
        <v>733</v>
      </c>
      <c r="B7" s="36" t="s">
        <v>734</v>
      </c>
      <c r="C7" s="37" t="s">
        <v>735</v>
      </c>
      <c r="D7" s="37" t="s">
        <v>736</v>
      </c>
      <c r="E7" s="22" t="s">
        <v>122</v>
      </c>
    </row>
    <row r="8" spans="1:7" s="48" customFormat="1" ht="174.75" customHeight="1" x14ac:dyDescent="0.25">
      <c r="A8" s="34" t="s">
        <v>737</v>
      </c>
      <c r="B8" s="21" t="s">
        <v>738</v>
      </c>
      <c r="C8" s="22" t="s">
        <v>739</v>
      </c>
      <c r="D8" s="22" t="s">
        <v>740</v>
      </c>
      <c r="E8" s="22" t="s">
        <v>122</v>
      </c>
    </row>
    <row r="9" spans="1:7" s="48" customFormat="1" ht="111" customHeight="1" x14ac:dyDescent="0.25">
      <c r="A9" s="36" t="s">
        <v>741</v>
      </c>
      <c r="B9" s="36" t="s">
        <v>742</v>
      </c>
      <c r="C9" s="37" t="s">
        <v>743</v>
      </c>
      <c r="D9" s="37" t="s">
        <v>744</v>
      </c>
      <c r="E9" s="22" t="s">
        <v>122</v>
      </c>
    </row>
    <row r="10" spans="1:7" s="48" customFormat="1" ht="111" customHeight="1" x14ac:dyDescent="0.25">
      <c r="A10" s="34" t="s">
        <v>745</v>
      </c>
      <c r="B10" s="21" t="s">
        <v>746</v>
      </c>
      <c r="C10" s="22" t="s">
        <v>747</v>
      </c>
      <c r="D10" s="22" t="s">
        <v>748</v>
      </c>
      <c r="E10" s="22" t="s">
        <v>120</v>
      </c>
    </row>
    <row r="11" spans="1:7" s="48" customFormat="1" ht="111" customHeight="1" x14ac:dyDescent="0.25">
      <c r="A11" s="36" t="s">
        <v>749</v>
      </c>
      <c r="B11" s="36" t="s">
        <v>750</v>
      </c>
      <c r="C11" s="37" t="s">
        <v>751</v>
      </c>
      <c r="D11" s="37" t="s">
        <v>752</v>
      </c>
      <c r="E11" s="22" t="s">
        <v>122</v>
      </c>
    </row>
    <row r="12" spans="1:7" s="48" customFormat="1" ht="111" customHeight="1" x14ac:dyDescent="0.25">
      <c r="A12" s="34" t="s">
        <v>753</v>
      </c>
      <c r="B12" s="21" t="s">
        <v>754</v>
      </c>
      <c r="C12" s="22" t="s">
        <v>751</v>
      </c>
      <c r="D12" s="22" t="s">
        <v>755</v>
      </c>
      <c r="E12" s="22" t="s">
        <v>122</v>
      </c>
    </row>
    <row r="13" spans="1:7" ht="111" customHeight="1" x14ac:dyDescent="0.3">
      <c r="A13" s="36" t="s">
        <v>756</v>
      </c>
      <c r="B13" s="36" t="s">
        <v>757</v>
      </c>
      <c r="C13" s="37" t="s">
        <v>751</v>
      </c>
      <c r="D13" s="37" t="s">
        <v>758</v>
      </c>
      <c r="E13" s="22" t="s">
        <v>122</v>
      </c>
    </row>
    <row r="14" spans="1:7" ht="111" customHeight="1" x14ac:dyDescent="0.3">
      <c r="A14" s="34" t="s">
        <v>759</v>
      </c>
      <c r="B14" s="21" t="s">
        <v>760</v>
      </c>
      <c r="C14" s="22" t="s">
        <v>761</v>
      </c>
      <c r="D14" s="22" t="s">
        <v>762</v>
      </c>
      <c r="E14" s="22" t="s">
        <v>120</v>
      </c>
    </row>
    <row r="15" spans="1:7" ht="111" customHeight="1" x14ac:dyDescent="0.3">
      <c r="A15" s="36" t="s">
        <v>763</v>
      </c>
      <c r="B15" s="36" t="s">
        <v>764</v>
      </c>
      <c r="C15" s="37" t="s">
        <v>765</v>
      </c>
      <c r="D15" s="37" t="s">
        <v>766</v>
      </c>
      <c r="E15" s="22" t="s">
        <v>120</v>
      </c>
    </row>
    <row r="16" spans="1:7" ht="115.5" customHeight="1" x14ac:dyDescent="0.3">
      <c r="A16" s="34" t="s">
        <v>767</v>
      </c>
      <c r="B16" s="21" t="s">
        <v>768</v>
      </c>
      <c r="C16" s="22" t="s">
        <v>769</v>
      </c>
      <c r="D16" s="22" t="s">
        <v>770</v>
      </c>
      <c r="E16" s="22" t="s">
        <v>122</v>
      </c>
    </row>
    <row r="17" spans="1:5" ht="91.5" customHeight="1" x14ac:dyDescent="0.3">
      <c r="A17" s="36" t="s">
        <v>771</v>
      </c>
      <c r="B17" s="36" t="s">
        <v>772</v>
      </c>
      <c r="C17" s="37" t="s">
        <v>773</v>
      </c>
      <c r="D17" s="37" t="s">
        <v>774</v>
      </c>
      <c r="E17" s="22" t="s">
        <v>122</v>
      </c>
    </row>
    <row r="18" spans="1:5" ht="96" customHeight="1" x14ac:dyDescent="0.3"/>
    <row r="19" spans="1:5" ht="120" customHeight="1" x14ac:dyDescent="0.3">
      <c r="A19" s="180" t="s">
        <v>775</v>
      </c>
      <c r="B19" s="180"/>
      <c r="C19" s="180"/>
      <c r="D19" s="180"/>
      <c r="E19" s="180"/>
    </row>
    <row r="21" spans="1:5" ht="27" customHeight="1" x14ac:dyDescent="0.3"/>
  </sheetData>
  <mergeCells count="3">
    <mergeCell ref="A1:E1"/>
    <mergeCell ref="A2:E2"/>
    <mergeCell ref="A19:E19"/>
  </mergeCells>
  <dataValidations count="2">
    <dataValidation type="list" allowBlank="1" showInputMessage="1" showErrorMessage="1" sqref="G2:G6" xr:uid="{00000000-0002-0000-0D00-000000000000}">
      <formula1>RelevanzListe</formula1>
      <formula2>0</formula2>
    </dataValidation>
    <dataValidation type="list" allowBlank="1" showInputMessage="1" showErrorMessage="1" sqref="E4:E17" xr:uid="{00000000-0002-0000-0D00-000001000000}">
      <formula1>$G$2:$G$7</formula1>
      <formula2>0</formula2>
    </dataValidation>
  </dataValidations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A6CAEC"/>
  </sheetPr>
  <dimension ref="A1:G14"/>
  <sheetViews>
    <sheetView zoomScaleNormal="100" workbookViewId="0">
      <pane ySplit="4" topLeftCell="A5" activePane="bottomLeft" state="frozen"/>
      <selection pane="bottomLeft" activeCell="A8" sqref="A8"/>
    </sheetView>
  </sheetViews>
  <sheetFormatPr baseColWidth="10" defaultColWidth="11.5546875" defaultRowHeight="15" x14ac:dyDescent="0.3"/>
  <cols>
    <col min="1" max="1" width="11.5546875" style="19"/>
    <col min="2" max="2" width="26.88671875" style="59" customWidth="1"/>
    <col min="3" max="3" width="47.109375" style="60" customWidth="1"/>
    <col min="4" max="4" width="38.33203125" style="19" customWidth="1"/>
    <col min="5" max="5" width="27.6640625" style="47" customWidth="1"/>
    <col min="6" max="6" width="11.5546875" style="48"/>
    <col min="7" max="7" width="28" customWidth="1"/>
    <col min="8" max="16384" width="11.5546875" style="61"/>
  </cols>
  <sheetData>
    <row r="1" spans="1:7" ht="39.75" customHeight="1" x14ac:dyDescent="0.25">
      <c r="A1" s="178" t="s">
        <v>437</v>
      </c>
      <c r="B1" s="178"/>
      <c r="C1" s="178"/>
      <c r="D1" s="178"/>
      <c r="E1" s="178"/>
      <c r="G1" s="17" t="s">
        <v>117</v>
      </c>
    </row>
    <row r="2" spans="1:7" x14ac:dyDescent="0.25">
      <c r="A2" s="176" t="s">
        <v>776</v>
      </c>
      <c r="B2" s="176"/>
      <c r="C2" s="176"/>
      <c r="D2" s="176"/>
      <c r="E2" s="176"/>
      <c r="G2" s="18" t="s">
        <v>118</v>
      </c>
    </row>
    <row r="3" spans="1:7" s="62" customFormat="1" ht="30" customHeight="1" x14ac:dyDescent="0.25">
      <c r="A3" s="52" t="s">
        <v>412</v>
      </c>
      <c r="B3" s="53" t="s">
        <v>443</v>
      </c>
      <c r="C3" s="54" t="s">
        <v>444</v>
      </c>
      <c r="D3" s="52" t="s">
        <v>445</v>
      </c>
      <c r="E3" s="79" t="s">
        <v>117</v>
      </c>
      <c r="F3" s="51"/>
      <c r="G3" s="18" t="s">
        <v>119</v>
      </c>
    </row>
    <row r="4" spans="1:7" ht="54.75" customHeight="1" x14ac:dyDescent="0.25">
      <c r="A4" s="34" t="s">
        <v>777</v>
      </c>
      <c r="B4" s="21" t="s">
        <v>778</v>
      </c>
      <c r="C4" s="22" t="s">
        <v>779</v>
      </c>
      <c r="D4" s="22" t="s">
        <v>780</v>
      </c>
      <c r="E4" s="22" t="s">
        <v>122</v>
      </c>
      <c r="G4" s="18" t="s">
        <v>120</v>
      </c>
    </row>
    <row r="5" spans="1:7" s="62" customFormat="1" ht="69" customHeight="1" x14ac:dyDescent="0.3">
      <c r="A5" s="36" t="s">
        <v>781</v>
      </c>
      <c r="B5" s="36" t="s">
        <v>782</v>
      </c>
      <c r="C5" s="37" t="s">
        <v>783</v>
      </c>
      <c r="D5" s="37" t="s">
        <v>784</v>
      </c>
      <c r="E5" s="22" t="s">
        <v>122</v>
      </c>
      <c r="F5" s="55"/>
      <c r="G5" s="19" t="s">
        <v>121</v>
      </c>
    </row>
    <row r="6" spans="1:7" s="48" customFormat="1" ht="111" customHeight="1" x14ac:dyDescent="0.25">
      <c r="A6" s="34" t="s">
        <v>785</v>
      </c>
      <c r="B6" s="21" t="s">
        <v>786</v>
      </c>
      <c r="C6" s="22" t="s">
        <v>787</v>
      </c>
      <c r="D6" s="22" t="s">
        <v>788</v>
      </c>
      <c r="E6" s="22" t="s">
        <v>122</v>
      </c>
      <c r="G6" s="18" t="s">
        <v>122</v>
      </c>
    </row>
    <row r="7" spans="1:7" s="48" customFormat="1" ht="111" customHeight="1" x14ac:dyDescent="0.25">
      <c r="A7" s="19"/>
      <c r="B7" s="59"/>
      <c r="C7" s="60"/>
      <c r="D7" s="19"/>
      <c r="E7" s="19"/>
    </row>
    <row r="8" spans="1:7" s="48" customFormat="1" ht="174.75" customHeight="1" x14ac:dyDescent="0.25">
      <c r="A8" s="180" t="s">
        <v>789</v>
      </c>
      <c r="B8" s="180"/>
      <c r="C8" s="180"/>
      <c r="D8" s="180"/>
      <c r="E8" s="180"/>
    </row>
    <row r="9" spans="1:7" ht="14.25" customHeight="1" x14ac:dyDescent="0.3">
      <c r="E9" s="18"/>
    </row>
    <row r="10" spans="1:7" ht="27" customHeight="1" x14ac:dyDescent="0.3">
      <c r="E10" s="18"/>
    </row>
    <row r="11" spans="1:7" ht="14.25" customHeight="1" x14ac:dyDescent="0.3">
      <c r="E11" s="18"/>
    </row>
    <row r="13" spans="1:7" ht="14.25" customHeight="1" x14ac:dyDescent="0.3">
      <c r="E13" s="19"/>
    </row>
    <row r="14" spans="1:7" ht="14.25" customHeight="1" x14ac:dyDescent="0.3">
      <c r="E14" s="19"/>
    </row>
  </sheetData>
  <mergeCells count="3">
    <mergeCell ref="A1:E1"/>
    <mergeCell ref="A2:E2"/>
    <mergeCell ref="A8:E8"/>
  </mergeCells>
  <dataValidations count="2">
    <dataValidation type="list" allowBlank="1" showInputMessage="1" showErrorMessage="1" sqref="G2:G6" xr:uid="{00000000-0002-0000-0E00-000000000000}">
      <formula1>RelevanzListe</formula1>
      <formula2>0</formula2>
    </dataValidation>
    <dataValidation type="list" allowBlank="1" showInputMessage="1" showErrorMessage="1" sqref="E4:E11" xr:uid="{00000000-0002-0000-0E00-000001000000}">
      <formula1>$G$2:$G$7</formula1>
      <formula2>0</formula2>
    </dataValidation>
  </dataValidations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G101"/>
  <sheetViews>
    <sheetView zoomScaleNormal="100" workbookViewId="0">
      <pane ySplit="3" topLeftCell="A4" activePane="bottomLeft" state="frozen"/>
      <selection pane="bottomLeft" activeCell="D13" sqref="D13"/>
    </sheetView>
  </sheetViews>
  <sheetFormatPr baseColWidth="10" defaultColWidth="11.5546875" defaultRowHeight="15" x14ac:dyDescent="0.3"/>
  <cols>
    <col min="1" max="1" width="11.5546875" style="19"/>
    <col min="2" max="2" width="26.88671875" style="19" customWidth="1"/>
    <col min="3" max="3" width="54.21875" style="19" customWidth="1"/>
    <col min="4" max="4" width="50.6640625" style="19" customWidth="1"/>
    <col min="5" max="5" width="27.6640625" style="47" customWidth="1"/>
    <col min="6" max="6" width="61.5546875" style="48" customWidth="1"/>
    <col min="7" max="7" width="28" customWidth="1"/>
    <col min="8" max="16384" width="11.5546875" style="48"/>
  </cols>
  <sheetData>
    <row r="1" spans="1:7" ht="50.25" customHeight="1" x14ac:dyDescent="0.25">
      <c r="A1" s="175" t="s">
        <v>410</v>
      </c>
      <c r="B1" s="175"/>
      <c r="C1" s="175"/>
      <c r="D1" s="175"/>
      <c r="E1" s="175"/>
      <c r="G1" s="49" t="s">
        <v>117</v>
      </c>
    </row>
    <row r="2" spans="1:7" ht="50.25" customHeight="1" x14ac:dyDescent="0.25">
      <c r="A2" s="176" t="s">
        <v>411</v>
      </c>
      <c r="B2" s="176"/>
      <c r="C2" s="176"/>
      <c r="D2" s="176"/>
      <c r="E2" s="176"/>
      <c r="G2" s="50" t="s">
        <v>118</v>
      </c>
    </row>
    <row r="3" spans="1:7" s="51" customFormat="1" ht="50.25" customHeight="1" x14ac:dyDescent="0.25">
      <c r="A3" s="52" t="s">
        <v>412</v>
      </c>
      <c r="B3" s="53" t="s">
        <v>443</v>
      </c>
      <c r="C3" s="54" t="s">
        <v>444</v>
      </c>
      <c r="D3" s="52" t="s">
        <v>445</v>
      </c>
      <c r="E3" s="52" t="s">
        <v>117</v>
      </c>
      <c r="G3" s="50" t="s">
        <v>119</v>
      </c>
    </row>
    <row r="4" spans="1:7" ht="50.25" customHeight="1" x14ac:dyDescent="0.25">
      <c r="A4" s="80">
        <v>1</v>
      </c>
      <c r="B4" s="81" t="s">
        <v>416</v>
      </c>
      <c r="C4" s="80" t="s">
        <v>417</v>
      </c>
      <c r="D4" s="80" t="s">
        <v>418</v>
      </c>
      <c r="E4" s="80"/>
      <c r="G4" s="50" t="s">
        <v>120</v>
      </c>
    </row>
    <row r="5" spans="1:7" s="55" customFormat="1" ht="50.25" customHeight="1" x14ac:dyDescent="0.3">
      <c r="A5" s="34" t="s">
        <v>446</v>
      </c>
      <c r="B5" s="21" t="s">
        <v>268</v>
      </c>
      <c r="C5" s="22" t="s">
        <v>447</v>
      </c>
      <c r="D5" s="22" t="s">
        <v>448</v>
      </c>
      <c r="E5" s="22" t="s">
        <v>121</v>
      </c>
      <c r="G5" s="56" t="s">
        <v>121</v>
      </c>
    </row>
    <row r="6" spans="1:7" ht="63" customHeight="1" x14ac:dyDescent="0.25">
      <c r="A6" s="63" t="s">
        <v>449</v>
      </c>
      <c r="B6" s="36" t="s">
        <v>450</v>
      </c>
      <c r="C6" s="37" t="s">
        <v>451</v>
      </c>
      <c r="D6" s="37" t="s">
        <v>452</v>
      </c>
      <c r="E6" s="22" t="s">
        <v>119</v>
      </c>
      <c r="G6" s="50" t="s">
        <v>122</v>
      </c>
    </row>
    <row r="7" spans="1:7" ht="63" customHeight="1" x14ac:dyDescent="0.3">
      <c r="A7" s="21" t="s">
        <v>453</v>
      </c>
      <c r="B7" s="21" t="s">
        <v>454</v>
      </c>
      <c r="C7" s="22" t="s">
        <v>455</v>
      </c>
      <c r="D7" s="22" t="s">
        <v>456</v>
      </c>
      <c r="E7" s="22" t="s">
        <v>121</v>
      </c>
      <c r="G7" s="57"/>
    </row>
    <row r="8" spans="1:7" ht="63" customHeight="1" x14ac:dyDescent="0.3">
      <c r="A8" s="36" t="s">
        <v>457</v>
      </c>
      <c r="B8" s="36" t="s">
        <v>273</v>
      </c>
      <c r="C8" s="37" t="s">
        <v>458</v>
      </c>
      <c r="D8" s="37" t="s">
        <v>459</v>
      </c>
      <c r="E8" s="58" t="s">
        <v>120</v>
      </c>
    </row>
    <row r="9" spans="1:7" ht="63" customHeight="1" x14ac:dyDescent="0.3">
      <c r="A9" s="21" t="s">
        <v>460</v>
      </c>
      <c r="B9" s="21" t="s">
        <v>278</v>
      </c>
      <c r="C9" s="22" t="s">
        <v>461</v>
      </c>
      <c r="D9" s="22" t="s">
        <v>459</v>
      </c>
      <c r="E9" s="22" t="s">
        <v>120</v>
      </c>
    </row>
    <row r="10" spans="1:7" ht="63" customHeight="1" x14ac:dyDescent="0.3">
      <c r="A10" s="36" t="s">
        <v>462</v>
      </c>
      <c r="B10" s="36" t="s">
        <v>463</v>
      </c>
      <c r="C10" s="37" t="s">
        <v>464</v>
      </c>
      <c r="D10" s="37" t="s">
        <v>465</v>
      </c>
      <c r="E10" s="22" t="s">
        <v>120</v>
      </c>
    </row>
    <row r="11" spans="1:7" ht="63" customHeight="1" x14ac:dyDescent="0.3">
      <c r="A11" s="21" t="s">
        <v>466</v>
      </c>
      <c r="B11" s="21" t="s">
        <v>467</v>
      </c>
      <c r="C11" s="22" t="s">
        <v>468</v>
      </c>
      <c r="D11" s="22" t="s">
        <v>459</v>
      </c>
      <c r="E11" s="22" t="s">
        <v>122</v>
      </c>
    </row>
    <row r="12" spans="1:7" ht="63" customHeight="1" x14ac:dyDescent="0.3">
      <c r="A12" s="36" t="s">
        <v>469</v>
      </c>
      <c r="B12" s="36" t="s">
        <v>286</v>
      </c>
      <c r="C12" s="37" t="s">
        <v>470</v>
      </c>
      <c r="D12" s="37" t="s">
        <v>471</v>
      </c>
      <c r="E12" s="22" t="s">
        <v>122</v>
      </c>
    </row>
    <row r="13" spans="1:7" ht="63" customHeight="1" x14ac:dyDescent="0.3">
      <c r="A13" s="34" t="s">
        <v>472</v>
      </c>
      <c r="B13" s="21" t="s">
        <v>473</v>
      </c>
      <c r="C13" s="22" t="s">
        <v>468</v>
      </c>
      <c r="D13" s="22" t="s">
        <v>459</v>
      </c>
      <c r="E13" s="22" t="s">
        <v>120</v>
      </c>
    </row>
    <row r="14" spans="1:7" ht="50.25" customHeight="1" x14ac:dyDescent="0.3">
      <c r="A14" s="80">
        <v>2</v>
      </c>
      <c r="B14" s="81" t="s">
        <v>419</v>
      </c>
      <c r="C14" s="80" t="s">
        <v>420</v>
      </c>
      <c r="D14" s="80" t="s">
        <v>421</v>
      </c>
      <c r="E14" s="80"/>
    </row>
    <row r="15" spans="1:7" ht="50.25" customHeight="1" x14ac:dyDescent="0.3">
      <c r="A15" s="34" t="s">
        <v>476</v>
      </c>
      <c r="B15" s="21" t="s">
        <v>155</v>
      </c>
      <c r="C15" s="22" t="s">
        <v>477</v>
      </c>
      <c r="D15" s="22" t="s">
        <v>478</v>
      </c>
      <c r="E15" s="22" t="s">
        <v>121</v>
      </c>
    </row>
    <row r="16" spans="1:7" ht="50.25" customHeight="1" x14ac:dyDescent="0.3">
      <c r="A16" s="63" t="s">
        <v>479</v>
      </c>
      <c r="B16" s="36" t="s">
        <v>480</v>
      </c>
      <c r="C16" s="37" t="s">
        <v>481</v>
      </c>
      <c r="D16" s="37" t="s">
        <v>482</v>
      </c>
      <c r="E16" s="22" t="s">
        <v>122</v>
      </c>
    </row>
    <row r="17" spans="1:5" ht="50.25" customHeight="1" x14ac:dyDescent="0.3">
      <c r="A17" s="21" t="s">
        <v>483</v>
      </c>
      <c r="B17" s="21" t="s">
        <v>484</v>
      </c>
      <c r="C17" s="22" t="s">
        <v>485</v>
      </c>
      <c r="D17" s="22" t="s">
        <v>486</v>
      </c>
      <c r="E17" s="22" t="s">
        <v>119</v>
      </c>
    </row>
    <row r="18" spans="1:5" ht="50.25" customHeight="1" x14ac:dyDescent="0.3">
      <c r="A18" s="36" t="s">
        <v>487</v>
      </c>
      <c r="B18" s="36" t="s">
        <v>150</v>
      </c>
      <c r="C18" s="37" t="s">
        <v>488</v>
      </c>
      <c r="D18" s="37" t="s">
        <v>489</v>
      </c>
      <c r="E18" s="58" t="s">
        <v>119</v>
      </c>
    </row>
    <row r="19" spans="1:5" ht="50.25" customHeight="1" x14ac:dyDescent="0.3">
      <c r="A19" s="21" t="s">
        <v>490</v>
      </c>
      <c r="B19" s="21" t="s">
        <v>491</v>
      </c>
      <c r="C19" s="22" t="s">
        <v>492</v>
      </c>
      <c r="D19" s="22" t="s">
        <v>493</v>
      </c>
      <c r="E19" s="22" t="s">
        <v>122</v>
      </c>
    </row>
    <row r="20" spans="1:5" ht="50.25" customHeight="1" x14ac:dyDescent="0.3">
      <c r="A20" s="36" t="s">
        <v>494</v>
      </c>
      <c r="B20" s="36" t="s">
        <v>133</v>
      </c>
      <c r="C20" s="37" t="s">
        <v>495</v>
      </c>
      <c r="D20" s="37" t="s">
        <v>790</v>
      </c>
      <c r="E20" s="22" t="s">
        <v>119</v>
      </c>
    </row>
    <row r="21" spans="1:5" ht="50.25" customHeight="1" x14ac:dyDescent="0.3">
      <c r="A21" s="21" t="s">
        <v>497</v>
      </c>
      <c r="B21" s="21" t="s">
        <v>498</v>
      </c>
      <c r="C21" s="22" t="s">
        <v>499</v>
      </c>
      <c r="D21" s="22" t="s">
        <v>500</v>
      </c>
      <c r="E21" s="22" t="s">
        <v>122</v>
      </c>
    </row>
    <row r="22" spans="1:5" ht="50.25" customHeight="1" x14ac:dyDescent="0.3">
      <c r="A22" s="80">
        <v>3</v>
      </c>
      <c r="B22" s="81" t="s">
        <v>422</v>
      </c>
      <c r="C22" s="80" t="s">
        <v>423</v>
      </c>
      <c r="D22" s="80" t="s">
        <v>424</v>
      </c>
      <c r="E22" s="80"/>
    </row>
    <row r="23" spans="1:5" ht="50.25" customHeight="1" x14ac:dyDescent="0.3">
      <c r="A23" s="34" t="s">
        <v>502</v>
      </c>
      <c r="B23" s="21" t="s">
        <v>503</v>
      </c>
      <c r="C23" s="22" t="s">
        <v>504</v>
      </c>
      <c r="D23" s="22" t="s">
        <v>505</v>
      </c>
      <c r="E23" s="22" t="s">
        <v>118</v>
      </c>
    </row>
    <row r="24" spans="1:5" ht="50.25" customHeight="1" x14ac:dyDescent="0.3">
      <c r="A24" s="63" t="s">
        <v>506</v>
      </c>
      <c r="B24" s="36" t="s">
        <v>507</v>
      </c>
      <c r="C24" s="37" t="s">
        <v>508</v>
      </c>
      <c r="D24" s="37" t="s">
        <v>509</v>
      </c>
      <c r="E24" s="22" t="s">
        <v>118</v>
      </c>
    </row>
    <row r="25" spans="1:5" ht="50.25" customHeight="1" x14ac:dyDescent="0.3">
      <c r="A25" s="21" t="s">
        <v>510</v>
      </c>
      <c r="B25" s="21" t="s">
        <v>511</v>
      </c>
      <c r="C25" s="22" t="s">
        <v>512</v>
      </c>
      <c r="D25" s="22" t="s">
        <v>509</v>
      </c>
      <c r="E25" s="22" t="s">
        <v>118</v>
      </c>
    </row>
    <row r="26" spans="1:5" ht="50.25" customHeight="1" x14ac:dyDescent="0.3">
      <c r="A26" s="36" t="s">
        <v>513</v>
      </c>
      <c r="B26" s="36" t="s">
        <v>514</v>
      </c>
      <c r="C26" s="37" t="s">
        <v>515</v>
      </c>
      <c r="D26" s="37" t="s">
        <v>516</v>
      </c>
      <c r="E26" s="58" t="s">
        <v>118</v>
      </c>
    </row>
    <row r="27" spans="1:5" ht="50.25" customHeight="1" x14ac:dyDescent="0.3">
      <c r="A27" s="21" t="s">
        <v>517</v>
      </c>
      <c r="B27" s="21" t="s">
        <v>518</v>
      </c>
      <c r="C27" s="22" t="s">
        <v>519</v>
      </c>
      <c r="D27" s="22" t="s">
        <v>520</v>
      </c>
      <c r="E27" s="22" t="s">
        <v>118</v>
      </c>
    </row>
    <row r="28" spans="1:5" ht="50.25" customHeight="1" x14ac:dyDescent="0.3">
      <c r="A28" s="36" t="s">
        <v>521</v>
      </c>
      <c r="B28" s="36" t="s">
        <v>522</v>
      </c>
      <c r="C28" s="37" t="s">
        <v>523</v>
      </c>
      <c r="D28" s="37" t="s">
        <v>524</v>
      </c>
      <c r="E28" s="22" t="s">
        <v>122</v>
      </c>
    </row>
    <row r="29" spans="1:5" ht="50.25" customHeight="1" x14ac:dyDescent="0.3">
      <c r="A29" s="21" t="s">
        <v>525</v>
      </c>
      <c r="B29" s="21" t="s">
        <v>223</v>
      </c>
      <c r="C29" s="22" t="s">
        <v>526</v>
      </c>
      <c r="D29" s="22" t="s">
        <v>527</v>
      </c>
      <c r="E29" s="22" t="s">
        <v>122</v>
      </c>
    </row>
    <row r="30" spans="1:5" ht="50.25" customHeight="1" x14ac:dyDescent="0.3">
      <c r="A30" s="34" t="s">
        <v>528</v>
      </c>
      <c r="B30" s="21" t="s">
        <v>529</v>
      </c>
      <c r="C30" s="22" t="s">
        <v>530</v>
      </c>
      <c r="D30" s="22" t="s">
        <v>531</v>
      </c>
      <c r="E30" s="22" t="s">
        <v>122</v>
      </c>
    </row>
    <row r="31" spans="1:5" ht="50.25" customHeight="1" x14ac:dyDescent="0.3">
      <c r="A31" s="63" t="s">
        <v>532</v>
      </c>
      <c r="B31" s="36" t="s">
        <v>228</v>
      </c>
      <c r="C31" s="37" t="s">
        <v>533</v>
      </c>
      <c r="D31" s="37" t="s">
        <v>534</v>
      </c>
      <c r="E31" s="22" t="s">
        <v>121</v>
      </c>
    </row>
    <row r="32" spans="1:5" ht="50.25" customHeight="1" x14ac:dyDescent="0.3">
      <c r="A32" s="21" t="s">
        <v>535</v>
      </c>
      <c r="B32" s="21" t="s">
        <v>536</v>
      </c>
      <c r="C32" s="22" t="s">
        <v>537</v>
      </c>
      <c r="D32" s="22" t="s">
        <v>538</v>
      </c>
      <c r="E32" s="22" t="s">
        <v>122</v>
      </c>
    </row>
    <row r="33" spans="1:5" ht="50.25" customHeight="1" x14ac:dyDescent="0.3">
      <c r="A33" s="36" t="s">
        <v>539</v>
      </c>
      <c r="B33" s="36" t="s">
        <v>540</v>
      </c>
      <c r="C33" s="37" t="s">
        <v>541</v>
      </c>
      <c r="D33" s="37" t="s">
        <v>542</v>
      </c>
      <c r="E33" s="22" t="s">
        <v>122</v>
      </c>
    </row>
    <row r="34" spans="1:5" ht="50.25" customHeight="1" x14ac:dyDescent="0.3">
      <c r="A34" s="21" t="s">
        <v>543</v>
      </c>
      <c r="B34" s="21" t="s">
        <v>544</v>
      </c>
      <c r="C34" s="22" t="s">
        <v>545</v>
      </c>
      <c r="D34" s="22" t="s">
        <v>546</v>
      </c>
      <c r="E34" s="22" t="s">
        <v>122</v>
      </c>
    </row>
    <row r="35" spans="1:5" ht="50.25" customHeight="1" x14ac:dyDescent="0.3">
      <c r="A35" s="66" t="s">
        <v>547</v>
      </c>
      <c r="B35" s="36" t="s">
        <v>548</v>
      </c>
      <c r="C35" s="37" t="s">
        <v>549</v>
      </c>
      <c r="D35" s="37" t="s">
        <v>550</v>
      </c>
      <c r="E35" s="22" t="s">
        <v>121</v>
      </c>
    </row>
    <row r="36" spans="1:5" ht="50.25" customHeight="1" x14ac:dyDescent="0.3">
      <c r="A36" s="80">
        <v>4</v>
      </c>
      <c r="B36" s="81" t="s">
        <v>425</v>
      </c>
      <c r="C36" s="80" t="s">
        <v>426</v>
      </c>
      <c r="D36" s="80" t="s">
        <v>427</v>
      </c>
      <c r="E36" s="82"/>
    </row>
    <row r="37" spans="1:5" ht="50.25" customHeight="1" x14ac:dyDescent="0.3">
      <c r="A37" s="34" t="s">
        <v>553</v>
      </c>
      <c r="B37" s="21" t="s">
        <v>554</v>
      </c>
      <c r="C37" s="22" t="s">
        <v>555</v>
      </c>
      <c r="D37" s="22" t="s">
        <v>556</v>
      </c>
      <c r="E37" s="22" t="s">
        <v>121</v>
      </c>
    </row>
    <row r="38" spans="1:5" ht="50.25" customHeight="1" x14ac:dyDescent="0.3">
      <c r="A38" s="36" t="s">
        <v>557</v>
      </c>
      <c r="B38" s="36" t="s">
        <v>558</v>
      </c>
      <c r="C38" s="37" t="s">
        <v>559</v>
      </c>
      <c r="D38" s="37" t="s">
        <v>560</v>
      </c>
      <c r="E38" s="22" t="s">
        <v>122</v>
      </c>
    </row>
    <row r="39" spans="1:5" ht="50.25" customHeight="1" x14ac:dyDescent="0.3">
      <c r="A39" s="34" t="s">
        <v>561</v>
      </c>
      <c r="B39" s="21" t="s">
        <v>562</v>
      </c>
      <c r="C39" s="22" t="s">
        <v>563</v>
      </c>
      <c r="D39" s="22" t="s">
        <v>564</v>
      </c>
      <c r="E39" s="22" t="s">
        <v>121</v>
      </c>
    </row>
    <row r="40" spans="1:5" ht="50.25" customHeight="1" x14ac:dyDescent="0.3">
      <c r="A40" s="36" t="s">
        <v>565</v>
      </c>
      <c r="B40" s="36" t="s">
        <v>159</v>
      </c>
      <c r="C40" s="37" t="s">
        <v>566</v>
      </c>
      <c r="D40" s="37" t="s">
        <v>567</v>
      </c>
      <c r="E40" s="58" t="s">
        <v>121</v>
      </c>
    </row>
    <row r="41" spans="1:5" ht="50.25" customHeight="1" x14ac:dyDescent="0.3">
      <c r="A41" s="34" t="s">
        <v>568</v>
      </c>
      <c r="B41" s="21" t="s">
        <v>569</v>
      </c>
      <c r="C41" s="22" t="s">
        <v>570</v>
      </c>
      <c r="D41" s="22" t="s">
        <v>571</v>
      </c>
      <c r="E41" s="22" t="s">
        <v>118</v>
      </c>
    </row>
    <row r="42" spans="1:5" ht="50.25" customHeight="1" x14ac:dyDescent="0.3">
      <c r="A42" s="36" t="s">
        <v>572</v>
      </c>
      <c r="B42" s="36" t="s">
        <v>573</v>
      </c>
      <c r="C42" s="37" t="s">
        <v>574</v>
      </c>
      <c r="D42" s="37" t="s">
        <v>575</v>
      </c>
      <c r="E42" s="22" t="s">
        <v>119</v>
      </c>
    </row>
    <row r="43" spans="1:5" ht="50.25" customHeight="1" x14ac:dyDescent="0.3">
      <c r="A43" s="34" t="s">
        <v>576</v>
      </c>
      <c r="B43" s="21" t="s">
        <v>577</v>
      </c>
      <c r="C43" s="22" t="s">
        <v>578</v>
      </c>
      <c r="D43" s="22" t="s">
        <v>579</v>
      </c>
      <c r="E43" s="22" t="s">
        <v>119</v>
      </c>
    </row>
    <row r="44" spans="1:5" ht="50.25" customHeight="1" x14ac:dyDescent="0.3">
      <c r="A44" s="36" t="s">
        <v>580</v>
      </c>
      <c r="B44" s="36" t="s">
        <v>239</v>
      </c>
      <c r="C44" s="37" t="s">
        <v>581</v>
      </c>
      <c r="D44" s="37" t="s">
        <v>582</v>
      </c>
      <c r="E44" s="22" t="s">
        <v>121</v>
      </c>
    </row>
    <row r="45" spans="1:5" ht="50.25" customHeight="1" x14ac:dyDescent="0.3">
      <c r="A45" s="34" t="s">
        <v>583</v>
      </c>
      <c r="B45" s="21" t="s">
        <v>584</v>
      </c>
      <c r="C45" s="22" t="s">
        <v>585</v>
      </c>
      <c r="D45" s="22" t="s">
        <v>586</v>
      </c>
      <c r="E45" s="22" t="s">
        <v>122</v>
      </c>
    </row>
    <row r="46" spans="1:5" ht="50.25" customHeight="1" x14ac:dyDescent="0.3">
      <c r="A46" s="36" t="s">
        <v>587</v>
      </c>
      <c r="B46" s="36" t="s">
        <v>588</v>
      </c>
      <c r="C46" s="37" t="s">
        <v>589</v>
      </c>
      <c r="D46" s="37" t="s">
        <v>590</v>
      </c>
      <c r="E46" s="22" t="s">
        <v>122</v>
      </c>
    </row>
    <row r="47" spans="1:5" ht="50.25" customHeight="1" x14ac:dyDescent="0.3">
      <c r="A47" s="34" t="s">
        <v>591</v>
      </c>
      <c r="B47" s="21" t="s">
        <v>592</v>
      </c>
      <c r="C47" s="22" t="s">
        <v>593</v>
      </c>
      <c r="D47" s="22" t="s">
        <v>594</v>
      </c>
      <c r="E47" s="22" t="s">
        <v>122</v>
      </c>
    </row>
    <row r="48" spans="1:5" ht="50.25" customHeight="1" x14ac:dyDescent="0.3">
      <c r="A48" s="36" t="s">
        <v>595</v>
      </c>
      <c r="B48" s="36" t="s">
        <v>596</v>
      </c>
      <c r="C48" s="37" t="s">
        <v>597</v>
      </c>
      <c r="D48" s="37" t="s">
        <v>598</v>
      </c>
      <c r="E48" s="22" t="s">
        <v>121</v>
      </c>
    </row>
    <row r="49" spans="1:6" ht="50.25" customHeight="1" x14ac:dyDescent="0.3">
      <c r="A49" s="34" t="s">
        <v>599</v>
      </c>
      <c r="B49" s="21" t="s">
        <v>600</v>
      </c>
      <c r="C49" s="22" t="s">
        <v>601</v>
      </c>
      <c r="D49" s="22" t="s">
        <v>602</v>
      </c>
      <c r="E49" s="22" t="s">
        <v>122</v>
      </c>
    </row>
    <row r="50" spans="1:6" ht="50.25" customHeight="1" x14ac:dyDescent="0.3">
      <c r="A50" s="36" t="s">
        <v>603</v>
      </c>
      <c r="B50" s="36" t="s">
        <v>243</v>
      </c>
      <c r="C50" s="37" t="s">
        <v>604</v>
      </c>
      <c r="D50" s="37" t="s">
        <v>605</v>
      </c>
      <c r="E50" s="22" t="s">
        <v>121</v>
      </c>
    </row>
    <row r="51" spans="1:6" ht="50.25" customHeight="1" x14ac:dyDescent="0.3">
      <c r="A51" s="34" t="s">
        <v>606</v>
      </c>
      <c r="B51" s="21" t="s">
        <v>241</v>
      </c>
      <c r="C51" s="22" t="s">
        <v>607</v>
      </c>
      <c r="D51" s="22" t="s">
        <v>608</v>
      </c>
      <c r="E51" s="22" t="s">
        <v>118</v>
      </c>
    </row>
    <row r="52" spans="1:6" ht="50.25" customHeight="1" x14ac:dyDescent="0.3">
      <c r="A52" s="80">
        <v>5</v>
      </c>
      <c r="B52" s="81" t="s">
        <v>428</v>
      </c>
      <c r="C52" s="80" t="s">
        <v>429</v>
      </c>
      <c r="D52" s="80" t="s">
        <v>430</v>
      </c>
      <c r="E52" s="80"/>
    </row>
    <row r="53" spans="1:6" ht="50.25" customHeight="1" x14ac:dyDescent="0.3">
      <c r="A53" s="34" t="s">
        <v>611</v>
      </c>
      <c r="B53" s="21" t="s">
        <v>250</v>
      </c>
      <c r="C53" s="22" t="s">
        <v>612</v>
      </c>
      <c r="D53" s="22" t="s">
        <v>613</v>
      </c>
      <c r="E53" s="22" t="s">
        <v>118</v>
      </c>
    </row>
    <row r="54" spans="1:6" ht="50.25" customHeight="1" x14ac:dyDescent="0.3">
      <c r="A54" s="36" t="s">
        <v>614</v>
      </c>
      <c r="B54" s="36" t="s">
        <v>615</v>
      </c>
      <c r="C54" s="37" t="s">
        <v>616</v>
      </c>
      <c r="D54" s="37" t="s">
        <v>617</v>
      </c>
      <c r="E54" s="22" t="s">
        <v>122</v>
      </c>
    </row>
    <row r="55" spans="1:6" ht="50.25" customHeight="1" x14ac:dyDescent="0.3">
      <c r="A55" s="34" t="s">
        <v>618</v>
      </c>
      <c r="B55" s="21" t="s">
        <v>619</v>
      </c>
      <c r="C55" s="22" t="s">
        <v>620</v>
      </c>
      <c r="D55" s="22" t="s">
        <v>621</v>
      </c>
      <c r="E55" s="58" t="s">
        <v>119</v>
      </c>
    </row>
    <row r="56" spans="1:6" ht="50.25" customHeight="1" x14ac:dyDescent="0.3">
      <c r="A56" s="36" t="s">
        <v>622</v>
      </c>
      <c r="B56" s="36" t="s">
        <v>623</v>
      </c>
      <c r="C56" s="37" t="s">
        <v>624</v>
      </c>
      <c r="D56" s="37" t="s">
        <v>625</v>
      </c>
      <c r="E56" s="22" t="s">
        <v>121</v>
      </c>
    </row>
    <row r="57" spans="1:6" ht="50.25" customHeight="1" x14ac:dyDescent="0.3">
      <c r="A57" s="34" t="s">
        <v>626</v>
      </c>
      <c r="B57" s="21" t="s">
        <v>627</v>
      </c>
      <c r="C57" s="22" t="s">
        <v>628</v>
      </c>
      <c r="D57" s="22" t="s">
        <v>629</v>
      </c>
      <c r="E57" s="22" t="s">
        <v>119</v>
      </c>
    </row>
    <row r="58" spans="1:6" ht="50.25" customHeight="1" x14ac:dyDescent="0.3">
      <c r="A58" s="36" t="s">
        <v>630</v>
      </c>
      <c r="B58" s="36" t="s">
        <v>631</v>
      </c>
      <c r="C58" s="37" t="s">
        <v>632</v>
      </c>
      <c r="D58" s="37" t="s">
        <v>633</v>
      </c>
      <c r="E58" s="22" t="s">
        <v>119</v>
      </c>
    </row>
    <row r="59" spans="1:6" ht="50.25" customHeight="1" x14ac:dyDescent="0.3">
      <c r="A59" s="34" t="s">
        <v>634</v>
      </c>
      <c r="B59" s="21" t="s">
        <v>635</v>
      </c>
      <c r="C59" s="22" t="s">
        <v>636</v>
      </c>
      <c r="D59" s="22" t="s">
        <v>637</v>
      </c>
      <c r="E59" s="22" t="s">
        <v>119</v>
      </c>
    </row>
    <row r="60" spans="1:6" ht="50.25" customHeight="1" x14ac:dyDescent="0.3">
      <c r="A60" s="36" t="s">
        <v>638</v>
      </c>
      <c r="B60" s="36" t="s">
        <v>639</v>
      </c>
      <c r="C60" s="37" t="s">
        <v>640</v>
      </c>
      <c r="D60" s="37" t="s">
        <v>641</v>
      </c>
      <c r="E60" s="22" t="s">
        <v>119</v>
      </c>
    </row>
    <row r="61" spans="1:6" ht="50.25" customHeight="1" x14ac:dyDescent="0.3">
      <c r="A61" s="34" t="s">
        <v>642</v>
      </c>
      <c r="B61" s="21" t="s">
        <v>262</v>
      </c>
      <c r="C61" s="22" t="s">
        <v>643</v>
      </c>
      <c r="D61" s="22" t="s">
        <v>644</v>
      </c>
      <c r="E61" s="22" t="s">
        <v>118</v>
      </c>
    </row>
    <row r="62" spans="1:6" ht="50.25" customHeight="1" x14ac:dyDescent="0.3">
      <c r="A62" s="36" t="s">
        <v>645</v>
      </c>
      <c r="B62" s="36" t="s">
        <v>646</v>
      </c>
      <c r="C62" s="37" t="s">
        <v>647</v>
      </c>
      <c r="D62" s="37" t="s">
        <v>648</v>
      </c>
      <c r="E62" s="22" t="s">
        <v>122</v>
      </c>
    </row>
    <row r="63" spans="1:6" ht="50.25" customHeight="1" x14ac:dyDescent="0.3">
      <c r="A63" s="34" t="s">
        <v>649</v>
      </c>
      <c r="B63" s="21" t="s">
        <v>650</v>
      </c>
      <c r="C63" s="22" t="s">
        <v>651</v>
      </c>
      <c r="D63" s="22" t="s">
        <v>652</v>
      </c>
      <c r="E63" s="22"/>
    </row>
    <row r="64" spans="1:6" ht="50.25" customHeight="1" x14ac:dyDescent="0.3">
      <c r="A64" s="80">
        <v>6</v>
      </c>
      <c r="B64" s="81" t="s">
        <v>431</v>
      </c>
      <c r="C64" s="80" t="s">
        <v>432</v>
      </c>
      <c r="D64" s="80" t="s">
        <v>433</v>
      </c>
      <c r="E64" s="80"/>
      <c r="F64" s="83" t="s">
        <v>655</v>
      </c>
    </row>
    <row r="65" spans="1:6" ht="50.25" customHeight="1" x14ac:dyDescent="0.3">
      <c r="A65" s="69" t="s">
        <v>656</v>
      </c>
      <c r="B65" s="70" t="s">
        <v>165</v>
      </c>
      <c r="C65" s="71" t="s">
        <v>657</v>
      </c>
      <c r="D65" s="71" t="s">
        <v>659</v>
      </c>
      <c r="E65" s="22" t="s">
        <v>118</v>
      </c>
      <c r="F65" s="72" t="s">
        <v>658</v>
      </c>
    </row>
    <row r="66" spans="1:6" ht="50.25" customHeight="1" x14ac:dyDescent="0.3">
      <c r="A66" s="73" t="s">
        <v>660</v>
      </c>
      <c r="B66" s="74" t="s">
        <v>661</v>
      </c>
      <c r="C66" s="75" t="s">
        <v>662</v>
      </c>
      <c r="D66" s="75" t="s">
        <v>664</v>
      </c>
      <c r="E66" s="22" t="s">
        <v>122</v>
      </c>
      <c r="F66" s="76" t="s">
        <v>663</v>
      </c>
    </row>
    <row r="67" spans="1:6" ht="50.25" customHeight="1" x14ac:dyDescent="0.3">
      <c r="A67" s="69" t="s">
        <v>665</v>
      </c>
      <c r="B67" s="70" t="s">
        <v>666</v>
      </c>
      <c r="C67" s="71" t="s">
        <v>667</v>
      </c>
      <c r="D67" s="71" t="s">
        <v>669</v>
      </c>
      <c r="E67" s="58" t="s">
        <v>119</v>
      </c>
      <c r="F67" s="72" t="s">
        <v>668</v>
      </c>
    </row>
    <row r="68" spans="1:6" ht="50.25" customHeight="1" x14ac:dyDescent="0.3">
      <c r="A68" s="73" t="s">
        <v>670</v>
      </c>
      <c r="B68" s="74" t="s">
        <v>671</v>
      </c>
      <c r="C68" s="75" t="s">
        <v>672</v>
      </c>
      <c r="D68" s="75" t="s">
        <v>673</v>
      </c>
      <c r="E68" s="22" t="s">
        <v>121</v>
      </c>
      <c r="F68" s="76"/>
    </row>
    <row r="69" spans="1:6" ht="50.25" customHeight="1" x14ac:dyDescent="0.3">
      <c r="A69" s="69" t="s">
        <v>674</v>
      </c>
      <c r="B69" s="70" t="s">
        <v>675</v>
      </c>
      <c r="C69" s="71" t="s">
        <v>676</v>
      </c>
      <c r="D69" s="71" t="s">
        <v>677</v>
      </c>
      <c r="E69" s="22" t="s">
        <v>119</v>
      </c>
      <c r="F69" s="72"/>
    </row>
    <row r="70" spans="1:6" ht="50.25" customHeight="1" x14ac:dyDescent="0.3">
      <c r="A70" s="73" t="s">
        <v>678</v>
      </c>
      <c r="B70" s="74" t="s">
        <v>679</v>
      </c>
      <c r="C70" s="75" t="s">
        <v>680</v>
      </c>
      <c r="D70" s="75" t="s">
        <v>682</v>
      </c>
      <c r="E70" s="22" t="s">
        <v>119</v>
      </c>
      <c r="F70" s="76" t="s">
        <v>681</v>
      </c>
    </row>
    <row r="71" spans="1:6" ht="50.25" customHeight="1" x14ac:dyDescent="0.3">
      <c r="A71" s="69" t="s">
        <v>683</v>
      </c>
      <c r="B71" s="70" t="s">
        <v>684</v>
      </c>
      <c r="C71" s="71" t="s">
        <v>685</v>
      </c>
      <c r="D71" s="71" t="s">
        <v>687</v>
      </c>
      <c r="E71" s="22" t="s">
        <v>119</v>
      </c>
      <c r="F71" s="72" t="s">
        <v>686</v>
      </c>
    </row>
    <row r="72" spans="1:6" ht="50.25" customHeight="1" x14ac:dyDescent="0.3">
      <c r="A72" s="73" t="s">
        <v>688</v>
      </c>
      <c r="B72" s="74" t="s">
        <v>689</v>
      </c>
      <c r="C72" s="75" t="s">
        <v>690</v>
      </c>
      <c r="D72" s="75" t="s">
        <v>692</v>
      </c>
      <c r="E72" s="22" t="s">
        <v>119</v>
      </c>
      <c r="F72" s="76" t="s">
        <v>691</v>
      </c>
    </row>
    <row r="73" spans="1:6" ht="50.25" customHeight="1" x14ac:dyDescent="0.3">
      <c r="A73" s="69" t="s">
        <v>693</v>
      </c>
      <c r="B73" s="70" t="s">
        <v>694</v>
      </c>
      <c r="C73" s="71" t="s">
        <v>695</v>
      </c>
      <c r="D73" s="71" t="s">
        <v>696</v>
      </c>
      <c r="E73" s="22" t="s">
        <v>118</v>
      </c>
      <c r="F73" s="72"/>
    </row>
    <row r="74" spans="1:6" ht="50.25" customHeight="1" x14ac:dyDescent="0.3">
      <c r="A74" s="73" t="s">
        <v>697</v>
      </c>
      <c r="B74" s="74" t="s">
        <v>698</v>
      </c>
      <c r="C74" s="75" t="s">
        <v>699</v>
      </c>
      <c r="D74" s="75" t="s">
        <v>700</v>
      </c>
      <c r="E74" s="22" t="s">
        <v>119</v>
      </c>
      <c r="F74" s="76"/>
    </row>
    <row r="75" spans="1:6" ht="50.25" customHeight="1" x14ac:dyDescent="0.3">
      <c r="A75" s="69" t="s">
        <v>701</v>
      </c>
      <c r="B75" s="70" t="s">
        <v>196</v>
      </c>
      <c r="C75" s="71" t="s">
        <v>702</v>
      </c>
      <c r="D75" s="71" t="s">
        <v>704</v>
      </c>
      <c r="E75" s="22" t="s">
        <v>121</v>
      </c>
      <c r="F75" s="72" t="s">
        <v>703</v>
      </c>
    </row>
    <row r="76" spans="1:6" ht="50.25" customHeight="1" x14ac:dyDescent="0.3">
      <c r="A76" s="73" t="s">
        <v>705</v>
      </c>
      <c r="B76" s="74" t="s">
        <v>202</v>
      </c>
      <c r="C76" s="75" t="s">
        <v>706</v>
      </c>
      <c r="D76" s="75" t="s">
        <v>708</v>
      </c>
      <c r="E76" s="22" t="s">
        <v>121</v>
      </c>
      <c r="F76" s="76" t="s">
        <v>707</v>
      </c>
    </row>
    <row r="77" spans="1:6" ht="50.25" customHeight="1" x14ac:dyDescent="0.3">
      <c r="A77" s="69" t="s">
        <v>709</v>
      </c>
      <c r="B77" s="70" t="s">
        <v>710</v>
      </c>
      <c r="C77" s="71" t="s">
        <v>711</v>
      </c>
      <c r="D77" s="71" t="s">
        <v>712</v>
      </c>
      <c r="E77" s="22" t="s">
        <v>119</v>
      </c>
      <c r="F77" s="72"/>
    </row>
    <row r="78" spans="1:6" ht="50.25" customHeight="1" x14ac:dyDescent="0.3">
      <c r="A78" s="73" t="s">
        <v>713</v>
      </c>
      <c r="B78" s="74" t="s">
        <v>714</v>
      </c>
      <c r="C78" s="75" t="s">
        <v>715</v>
      </c>
      <c r="D78" s="75" t="s">
        <v>716</v>
      </c>
      <c r="E78" s="22" t="s">
        <v>118</v>
      </c>
      <c r="F78" s="76"/>
    </row>
    <row r="79" spans="1:6" ht="50.25" customHeight="1" x14ac:dyDescent="0.3">
      <c r="A79" s="69" t="s">
        <v>717</v>
      </c>
      <c r="B79" s="70" t="s">
        <v>718</v>
      </c>
      <c r="C79" s="71" t="s">
        <v>719</v>
      </c>
      <c r="D79" s="71" t="s">
        <v>720</v>
      </c>
      <c r="E79" s="22" t="s">
        <v>121</v>
      </c>
      <c r="F79" s="72"/>
    </row>
    <row r="80" spans="1:6" ht="50.25" customHeight="1" x14ac:dyDescent="0.3">
      <c r="A80" s="80">
        <v>7</v>
      </c>
      <c r="B80" s="81" t="s">
        <v>434</v>
      </c>
      <c r="C80" s="80" t="s">
        <v>435</v>
      </c>
      <c r="D80" s="80" t="s">
        <v>436</v>
      </c>
      <c r="E80" s="80"/>
    </row>
    <row r="81" spans="1:5" ht="50.25" customHeight="1" x14ac:dyDescent="0.3">
      <c r="A81" s="34" t="s">
        <v>724</v>
      </c>
      <c r="B81" s="21" t="s">
        <v>294</v>
      </c>
      <c r="C81" s="22" t="s">
        <v>725</v>
      </c>
      <c r="D81" s="22" t="s">
        <v>726</v>
      </c>
      <c r="E81" s="22" t="s">
        <v>120</v>
      </c>
    </row>
    <row r="82" spans="1:5" ht="50.25" customHeight="1" x14ac:dyDescent="0.3">
      <c r="A82" s="36" t="s">
        <v>727</v>
      </c>
      <c r="B82" s="36" t="s">
        <v>300</v>
      </c>
      <c r="C82" s="37" t="s">
        <v>728</v>
      </c>
      <c r="D82" s="37" t="s">
        <v>729</v>
      </c>
      <c r="E82" s="22" t="s">
        <v>121</v>
      </c>
    </row>
    <row r="83" spans="1:5" ht="50.25" customHeight="1" x14ac:dyDescent="0.3">
      <c r="A83" s="34" t="s">
        <v>730</v>
      </c>
      <c r="B83" s="21" t="s">
        <v>305</v>
      </c>
      <c r="C83" s="22" t="s">
        <v>731</v>
      </c>
      <c r="D83" s="22" t="s">
        <v>732</v>
      </c>
      <c r="E83" s="22" t="s">
        <v>119</v>
      </c>
    </row>
    <row r="84" spans="1:5" ht="50.25" customHeight="1" x14ac:dyDescent="0.3">
      <c r="A84" s="36" t="s">
        <v>733</v>
      </c>
      <c r="B84" s="36" t="s">
        <v>734</v>
      </c>
      <c r="C84" s="37" t="s">
        <v>735</v>
      </c>
      <c r="D84" s="37" t="s">
        <v>736</v>
      </c>
      <c r="E84" s="22" t="s">
        <v>122</v>
      </c>
    </row>
    <row r="85" spans="1:5" ht="50.25" customHeight="1" x14ac:dyDescent="0.3">
      <c r="A85" s="34" t="s">
        <v>737</v>
      </c>
      <c r="B85" s="21" t="s">
        <v>738</v>
      </c>
      <c r="C85" s="22" t="s">
        <v>739</v>
      </c>
      <c r="D85" s="22" t="s">
        <v>740</v>
      </c>
      <c r="E85" s="22" t="s">
        <v>122</v>
      </c>
    </row>
    <row r="86" spans="1:5" ht="50.25" customHeight="1" x14ac:dyDescent="0.3">
      <c r="A86" s="36" t="s">
        <v>741</v>
      </c>
      <c r="B86" s="36" t="s">
        <v>742</v>
      </c>
      <c r="C86" s="37" t="s">
        <v>743</v>
      </c>
      <c r="D86" s="37" t="s">
        <v>744</v>
      </c>
      <c r="E86" s="22" t="s">
        <v>122</v>
      </c>
    </row>
    <row r="87" spans="1:5" ht="50.25" customHeight="1" x14ac:dyDescent="0.3">
      <c r="A87" s="34" t="s">
        <v>745</v>
      </c>
      <c r="B87" s="21" t="s">
        <v>746</v>
      </c>
      <c r="C87" s="22" t="s">
        <v>747</v>
      </c>
      <c r="D87" s="22" t="s">
        <v>748</v>
      </c>
      <c r="E87" s="22" t="s">
        <v>120</v>
      </c>
    </row>
    <row r="88" spans="1:5" ht="50.25" customHeight="1" x14ac:dyDescent="0.3">
      <c r="A88" s="36" t="s">
        <v>749</v>
      </c>
      <c r="B88" s="36" t="s">
        <v>750</v>
      </c>
      <c r="C88" s="37" t="s">
        <v>751</v>
      </c>
      <c r="D88" s="37" t="s">
        <v>752</v>
      </c>
      <c r="E88" s="22" t="s">
        <v>122</v>
      </c>
    </row>
    <row r="89" spans="1:5" ht="50.25" customHeight="1" x14ac:dyDescent="0.3">
      <c r="A89" s="34" t="s">
        <v>753</v>
      </c>
      <c r="B89" s="21" t="s">
        <v>754</v>
      </c>
      <c r="C89" s="22" t="s">
        <v>751</v>
      </c>
      <c r="D89" s="22" t="s">
        <v>755</v>
      </c>
      <c r="E89" s="22" t="s">
        <v>122</v>
      </c>
    </row>
    <row r="90" spans="1:5" ht="50.25" customHeight="1" x14ac:dyDescent="0.3">
      <c r="A90" s="36" t="s">
        <v>756</v>
      </c>
      <c r="B90" s="36" t="s">
        <v>757</v>
      </c>
      <c r="C90" s="37" t="s">
        <v>751</v>
      </c>
      <c r="D90" s="37" t="s">
        <v>758</v>
      </c>
      <c r="E90" s="22" t="s">
        <v>122</v>
      </c>
    </row>
    <row r="91" spans="1:5" ht="50.25" customHeight="1" x14ac:dyDescent="0.3">
      <c r="A91" s="34" t="s">
        <v>759</v>
      </c>
      <c r="B91" s="21" t="s">
        <v>760</v>
      </c>
      <c r="C91" s="22" t="s">
        <v>761</v>
      </c>
      <c r="D91" s="22" t="s">
        <v>762</v>
      </c>
      <c r="E91" s="22" t="s">
        <v>120</v>
      </c>
    </row>
    <row r="92" spans="1:5" ht="50.25" customHeight="1" x14ac:dyDescent="0.3">
      <c r="A92" s="36" t="s">
        <v>763</v>
      </c>
      <c r="B92" s="36" t="s">
        <v>764</v>
      </c>
      <c r="C92" s="37" t="s">
        <v>765</v>
      </c>
      <c r="D92" s="37" t="s">
        <v>766</v>
      </c>
      <c r="E92" s="22" t="s">
        <v>120</v>
      </c>
    </row>
    <row r="93" spans="1:5" ht="50.25" customHeight="1" x14ac:dyDescent="0.3">
      <c r="A93" s="34" t="s">
        <v>767</v>
      </c>
      <c r="B93" s="21" t="s">
        <v>768</v>
      </c>
      <c r="C93" s="22" t="s">
        <v>769</v>
      </c>
      <c r="D93" s="22" t="s">
        <v>770</v>
      </c>
      <c r="E93" s="22" t="s">
        <v>122</v>
      </c>
    </row>
    <row r="94" spans="1:5" ht="50.25" customHeight="1" x14ac:dyDescent="0.3">
      <c r="A94" s="36" t="s">
        <v>771</v>
      </c>
      <c r="B94" s="36" t="s">
        <v>772</v>
      </c>
      <c r="C94" s="37" t="s">
        <v>773</v>
      </c>
      <c r="D94" s="37" t="s">
        <v>774</v>
      </c>
      <c r="E94" s="22" t="s">
        <v>122</v>
      </c>
    </row>
    <row r="95" spans="1:5" ht="50.25" customHeight="1" x14ac:dyDescent="0.3">
      <c r="A95" s="80">
        <v>8</v>
      </c>
      <c r="B95" s="81" t="s">
        <v>437</v>
      </c>
      <c r="C95" s="80" t="s">
        <v>438</v>
      </c>
      <c r="D95" s="80" t="s">
        <v>439</v>
      </c>
      <c r="E95" s="80"/>
    </row>
    <row r="96" spans="1:5" ht="50.25" customHeight="1" x14ac:dyDescent="0.3">
      <c r="A96" s="34" t="s">
        <v>777</v>
      </c>
      <c r="B96" s="21" t="s">
        <v>778</v>
      </c>
      <c r="C96" s="22" t="s">
        <v>779</v>
      </c>
      <c r="D96" s="22" t="s">
        <v>780</v>
      </c>
      <c r="E96" s="22" t="s">
        <v>122</v>
      </c>
    </row>
    <row r="97" spans="1:5" ht="50.25" customHeight="1" x14ac:dyDescent="0.3">
      <c r="A97" s="36" t="s">
        <v>781</v>
      </c>
      <c r="B97" s="36" t="s">
        <v>782</v>
      </c>
      <c r="C97" s="37" t="s">
        <v>783</v>
      </c>
      <c r="D97" s="37" t="s">
        <v>784</v>
      </c>
      <c r="E97" s="22" t="s">
        <v>122</v>
      </c>
    </row>
    <row r="98" spans="1:5" ht="50.25" customHeight="1" x14ac:dyDescent="0.3">
      <c r="A98" s="34" t="s">
        <v>785</v>
      </c>
      <c r="B98" s="21" t="s">
        <v>786</v>
      </c>
      <c r="C98" s="22" t="s">
        <v>787</v>
      </c>
      <c r="D98" s="22" t="s">
        <v>788</v>
      </c>
      <c r="E98" s="22" t="s">
        <v>122</v>
      </c>
    </row>
    <row r="100" spans="1:5" ht="50.25" customHeight="1" x14ac:dyDescent="0.3">
      <c r="A100" s="177" t="s">
        <v>440</v>
      </c>
      <c r="B100" s="177"/>
      <c r="C100" s="177"/>
      <c r="D100" s="177"/>
      <c r="E100" s="177"/>
    </row>
    <row r="101" spans="1:5" ht="50.25" customHeight="1" x14ac:dyDescent="0.3">
      <c r="A101" s="177"/>
      <c r="B101" s="177"/>
      <c r="C101" s="177"/>
      <c r="D101" s="177"/>
      <c r="E101" s="177"/>
    </row>
  </sheetData>
  <autoFilter ref="E1:E101" xr:uid="{00000000-0009-0000-0000-00000F000000}"/>
  <mergeCells count="3">
    <mergeCell ref="A1:E1"/>
    <mergeCell ref="A2:E2"/>
    <mergeCell ref="A100:E101"/>
  </mergeCells>
  <dataValidations count="3">
    <dataValidation type="list" allowBlank="1" showInputMessage="1" showErrorMessage="1" sqref="G2:G6" xr:uid="{00000000-0002-0000-0F00-000000000000}">
      <formula1>RelevanzListe</formula1>
      <formula2>0</formula2>
    </dataValidation>
    <dataValidation type="list" allowBlank="1" showInputMessage="1" showErrorMessage="1" sqref="E4:E73 E77:E78 E80:E98" xr:uid="{00000000-0002-0000-0F00-000001000000}">
      <formula1>$G$2:$G$7</formula1>
      <formula2>0</formula2>
    </dataValidation>
    <dataValidation type="list" allowBlank="1" showInputMessage="1" showErrorMessage="1" sqref="E74:E76 E79" xr:uid="{00000000-0002-0000-0F00-000002000000}">
      <formula1>$H$2:$H$7</formula1>
      <formula2>0</formula2>
    </dataValidation>
  </dataValidations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I57"/>
  <sheetViews>
    <sheetView zoomScaleNormal="100" workbookViewId="0">
      <pane ySplit="5" topLeftCell="A6" activePane="bottomLeft" state="frozen"/>
      <selection pane="bottomLeft" activeCell="C10" sqref="C10"/>
    </sheetView>
  </sheetViews>
  <sheetFormatPr baseColWidth="10" defaultColWidth="8.6640625" defaultRowHeight="14.4" x14ac:dyDescent="0.3"/>
  <cols>
    <col min="1" max="1" width="7" style="24" customWidth="1"/>
    <col min="2" max="2" width="46.109375" style="24" customWidth="1"/>
    <col min="3" max="3" width="46" style="24" customWidth="1"/>
    <col min="4" max="4" width="18" style="24" customWidth="1"/>
    <col min="5" max="5" width="12" style="24" customWidth="1"/>
    <col min="6" max="6" width="34" style="24" customWidth="1"/>
    <col min="7" max="8" width="8.6640625" style="24"/>
    <col min="9" max="9" width="19.21875" style="24" customWidth="1"/>
    <col min="10" max="16384" width="8.6640625" style="24"/>
  </cols>
  <sheetData>
    <row r="1" spans="1:9" ht="42" customHeight="1" x14ac:dyDescent="0.3">
      <c r="A1" s="181" t="s">
        <v>791</v>
      </c>
      <c r="B1" s="181"/>
      <c r="C1" s="181"/>
      <c r="D1" s="181"/>
      <c r="E1" s="181"/>
      <c r="F1" s="181"/>
    </row>
    <row r="2" spans="1:9" ht="30" customHeight="1" x14ac:dyDescent="0.3">
      <c r="A2" s="182" t="s">
        <v>792</v>
      </c>
      <c r="B2" s="182"/>
      <c r="C2" s="85"/>
      <c r="D2" s="84" t="s">
        <v>793</v>
      </c>
      <c r="E2" s="86" t="s">
        <v>124</v>
      </c>
      <c r="F2" s="85"/>
      <c r="I2" s="87" t="s">
        <v>794</v>
      </c>
    </row>
    <row r="3" spans="1:9" ht="30" customHeight="1" x14ac:dyDescent="0.3">
      <c r="A3" s="183" t="s">
        <v>795</v>
      </c>
      <c r="B3" s="183"/>
      <c r="C3" s="183"/>
      <c r="D3" s="183"/>
      <c r="E3" s="183"/>
      <c r="F3" s="183"/>
      <c r="I3" s="87" t="s">
        <v>796</v>
      </c>
    </row>
    <row r="4" spans="1:9" ht="30" customHeight="1" x14ac:dyDescent="0.3">
      <c r="A4" s="88"/>
      <c r="B4" s="88"/>
      <c r="C4" s="88"/>
      <c r="D4" s="88"/>
      <c r="E4" s="88"/>
      <c r="F4" s="88"/>
      <c r="I4" s="89" t="s">
        <v>797</v>
      </c>
    </row>
    <row r="5" spans="1:9" ht="42" customHeight="1" x14ac:dyDescent="0.3">
      <c r="A5" s="90" t="s">
        <v>412</v>
      </c>
      <c r="B5" s="91" t="s">
        <v>798</v>
      </c>
      <c r="C5" s="92" t="s">
        <v>799</v>
      </c>
      <c r="D5" s="92" t="s">
        <v>800</v>
      </c>
      <c r="E5" s="92" t="s">
        <v>801</v>
      </c>
      <c r="F5" s="93" t="s">
        <v>802</v>
      </c>
      <c r="I5" s="87" t="s">
        <v>803</v>
      </c>
    </row>
    <row r="6" spans="1:9" ht="42" customHeight="1" x14ac:dyDescent="0.3">
      <c r="A6" s="94"/>
      <c r="B6" s="95"/>
      <c r="C6" s="95"/>
      <c r="D6" s="96"/>
      <c r="E6" s="96"/>
      <c r="F6" s="97"/>
    </row>
    <row r="7" spans="1:9" ht="42" customHeight="1" x14ac:dyDescent="0.3">
      <c r="A7" s="184" t="s">
        <v>804</v>
      </c>
      <c r="B7" s="184"/>
      <c r="C7" s="184"/>
      <c r="D7" s="184"/>
      <c r="E7" s="184"/>
      <c r="F7" s="184"/>
    </row>
    <row r="8" spans="1:9" ht="42" customHeight="1" x14ac:dyDescent="0.3">
      <c r="A8" s="98" t="s">
        <v>476</v>
      </c>
      <c r="B8" s="99" t="s">
        <v>155</v>
      </c>
      <c r="C8" s="100" t="s">
        <v>156</v>
      </c>
      <c r="D8" s="101" t="s">
        <v>796</v>
      </c>
      <c r="E8" s="102">
        <f>IF(D8="erfüllt",2,IF(D8="teilweise",1,IF(D8="nicht erfüllt",0,"")))</f>
        <v>1</v>
      </c>
      <c r="F8" s="103"/>
    </row>
    <row r="9" spans="1:9" ht="42" customHeight="1" x14ac:dyDescent="0.3">
      <c r="A9" s="104" t="s">
        <v>483</v>
      </c>
      <c r="B9" s="105" t="s">
        <v>805</v>
      </c>
      <c r="C9" s="20" t="s">
        <v>2</v>
      </c>
      <c r="D9" s="101" t="s">
        <v>794</v>
      </c>
      <c r="E9" s="102">
        <f>IF(D9="erfüllt",2,IF(D9="teilweise",1,IF(D9="nicht erfüllt",0,"")))</f>
        <v>2</v>
      </c>
      <c r="F9" s="106"/>
    </row>
    <row r="10" spans="1:9" ht="42" customHeight="1" x14ac:dyDescent="0.3">
      <c r="A10" s="98" t="s">
        <v>487</v>
      </c>
      <c r="B10" s="99" t="s">
        <v>150</v>
      </c>
      <c r="C10" s="100" t="s">
        <v>150</v>
      </c>
      <c r="D10" s="101"/>
      <c r="E10" s="102" t="str">
        <f>IF(D10="erfüllt",2,IF(D10="teilweise",1,IF(D10="nicht erfüllt",0,"")))</f>
        <v/>
      </c>
      <c r="F10" s="103"/>
    </row>
    <row r="11" spans="1:9" ht="14.25" customHeight="1" x14ac:dyDescent="0.3">
      <c r="A11" s="104" t="s">
        <v>494</v>
      </c>
      <c r="B11" s="105" t="s">
        <v>133</v>
      </c>
      <c r="C11" s="20" t="s">
        <v>806</v>
      </c>
      <c r="D11" s="101"/>
      <c r="E11" s="102" t="str">
        <f>IF(D11="erfüllt",2,IF(D11="teilweise",1,IF(D11="nicht erfüllt",0,"")))</f>
        <v/>
      </c>
      <c r="F11" s="106"/>
    </row>
    <row r="12" spans="1:9" ht="42" customHeight="1" x14ac:dyDescent="0.3">
      <c r="A12" s="107"/>
      <c r="B12" s="108" t="s">
        <v>807</v>
      </c>
      <c r="C12" s="109" t="s">
        <v>808</v>
      </c>
      <c r="D12" s="110"/>
      <c r="E12" s="111">
        <f>IF(COUNT(E8:E11)=0,"–",SUM(E8:E11)/(2*COUNT(E8:E11)))</f>
        <v>0.75</v>
      </c>
      <c r="F12" s="112"/>
    </row>
    <row r="13" spans="1:9" ht="42" customHeight="1" x14ac:dyDescent="0.3">
      <c r="A13" s="113"/>
      <c r="B13" s="114"/>
      <c r="C13" s="115"/>
      <c r="D13" s="116"/>
      <c r="E13" s="117"/>
      <c r="F13" s="118"/>
    </row>
    <row r="14" spans="1:9" ht="42" customHeight="1" x14ac:dyDescent="0.3">
      <c r="A14" s="184" t="s">
        <v>809</v>
      </c>
      <c r="B14" s="184"/>
      <c r="C14" s="184"/>
      <c r="D14" s="184"/>
      <c r="E14" s="184"/>
      <c r="F14" s="184"/>
    </row>
    <row r="15" spans="1:9" ht="42" customHeight="1" x14ac:dyDescent="0.3">
      <c r="A15" s="98" t="s">
        <v>810</v>
      </c>
      <c r="B15" s="99" t="s">
        <v>811</v>
      </c>
      <c r="C15" s="100" t="s">
        <v>812</v>
      </c>
      <c r="D15" s="101"/>
      <c r="E15" s="102" t="str">
        <f t="shared" ref="E15:E27" si="0">IF(D15="erfüllt",2,IF(D15="teilweise",1,IF(D15="nicht erfüllt",0,"")))</f>
        <v/>
      </c>
      <c r="F15" s="103"/>
    </row>
    <row r="16" spans="1:9" ht="42" customHeight="1" x14ac:dyDescent="0.3">
      <c r="A16" s="104" t="s">
        <v>813</v>
      </c>
      <c r="B16" s="105" t="s">
        <v>814</v>
      </c>
      <c r="C16" s="20" t="s">
        <v>815</v>
      </c>
      <c r="D16" s="101"/>
      <c r="E16" s="102" t="str">
        <f t="shared" si="0"/>
        <v/>
      </c>
      <c r="F16" s="106"/>
    </row>
    <row r="17" spans="1:6" ht="42" customHeight="1" x14ac:dyDescent="0.3">
      <c r="A17" s="98" t="s">
        <v>565</v>
      </c>
      <c r="B17" s="99" t="s">
        <v>159</v>
      </c>
      <c r="C17" s="100" t="s">
        <v>159</v>
      </c>
      <c r="D17" s="101"/>
      <c r="E17" s="102" t="str">
        <f t="shared" si="0"/>
        <v/>
      </c>
      <c r="F17" s="103"/>
    </row>
    <row r="18" spans="1:6" ht="42" customHeight="1" x14ac:dyDescent="0.3">
      <c r="A18" s="104" t="s">
        <v>656</v>
      </c>
      <c r="B18" s="105" t="s">
        <v>165</v>
      </c>
      <c r="C18" s="20" t="s">
        <v>165</v>
      </c>
      <c r="D18" s="101"/>
      <c r="E18" s="102" t="str">
        <f t="shared" si="0"/>
        <v/>
      </c>
      <c r="F18" s="106"/>
    </row>
    <row r="19" spans="1:6" ht="42" customHeight="1" x14ac:dyDescent="0.3">
      <c r="A19" s="98" t="s">
        <v>660</v>
      </c>
      <c r="B19" s="99" t="s">
        <v>661</v>
      </c>
      <c r="C19" s="100" t="s">
        <v>662</v>
      </c>
      <c r="D19" s="101"/>
      <c r="E19" s="102" t="str">
        <f t="shared" si="0"/>
        <v/>
      </c>
      <c r="F19" s="103"/>
    </row>
    <row r="20" spans="1:6" ht="42" customHeight="1" x14ac:dyDescent="0.3">
      <c r="A20" s="104" t="s">
        <v>665</v>
      </c>
      <c r="B20" s="105" t="s">
        <v>666</v>
      </c>
      <c r="C20" s="20" t="s">
        <v>170</v>
      </c>
      <c r="D20" s="101"/>
      <c r="E20" s="102" t="str">
        <f t="shared" si="0"/>
        <v/>
      </c>
      <c r="F20" s="106"/>
    </row>
    <row r="21" spans="1:6" ht="42" customHeight="1" x14ac:dyDescent="0.3">
      <c r="A21" s="98" t="s">
        <v>678</v>
      </c>
      <c r="B21" s="99" t="s">
        <v>679</v>
      </c>
      <c r="C21" s="100" t="s">
        <v>175</v>
      </c>
      <c r="D21" s="101"/>
      <c r="E21" s="102" t="str">
        <f t="shared" si="0"/>
        <v/>
      </c>
      <c r="F21" s="103"/>
    </row>
    <row r="22" spans="1:6" ht="42" customHeight="1" x14ac:dyDescent="0.3">
      <c r="A22" s="104" t="s">
        <v>683</v>
      </c>
      <c r="B22" s="105" t="s">
        <v>684</v>
      </c>
      <c r="C22" s="20" t="s">
        <v>179</v>
      </c>
      <c r="D22" s="101"/>
      <c r="E22" s="102" t="str">
        <f t="shared" si="0"/>
        <v/>
      </c>
      <c r="F22" s="106"/>
    </row>
    <row r="23" spans="1:6" ht="42" customHeight="1" x14ac:dyDescent="0.3">
      <c r="A23" s="98" t="s">
        <v>688</v>
      </c>
      <c r="B23" s="99" t="s">
        <v>689</v>
      </c>
      <c r="C23" s="100" t="s">
        <v>184</v>
      </c>
      <c r="D23" s="101"/>
      <c r="E23" s="102" t="str">
        <f t="shared" si="0"/>
        <v/>
      </c>
      <c r="F23" s="103"/>
    </row>
    <row r="24" spans="1:6" ht="42" customHeight="1" x14ac:dyDescent="0.3">
      <c r="A24" s="104" t="s">
        <v>693</v>
      </c>
      <c r="B24" s="105" t="s">
        <v>694</v>
      </c>
      <c r="C24" s="20" t="s">
        <v>192</v>
      </c>
      <c r="D24" s="101"/>
      <c r="E24" s="102" t="str">
        <f t="shared" si="0"/>
        <v/>
      </c>
      <c r="F24" s="106"/>
    </row>
    <row r="25" spans="1:6" ht="42" customHeight="1" x14ac:dyDescent="0.3">
      <c r="A25" s="98" t="s">
        <v>701</v>
      </c>
      <c r="B25" s="99" t="s">
        <v>196</v>
      </c>
      <c r="C25" s="100" t="s">
        <v>196</v>
      </c>
      <c r="D25" s="101"/>
      <c r="E25" s="102" t="str">
        <f t="shared" si="0"/>
        <v/>
      </c>
      <c r="F25" s="103"/>
    </row>
    <row r="26" spans="1:6" ht="42" customHeight="1" x14ac:dyDescent="0.3">
      <c r="A26" s="104" t="s">
        <v>705</v>
      </c>
      <c r="B26" s="105" t="s">
        <v>202</v>
      </c>
      <c r="C26" s="20" t="s">
        <v>202</v>
      </c>
      <c r="D26" s="101"/>
      <c r="E26" s="102" t="str">
        <f t="shared" si="0"/>
        <v/>
      </c>
      <c r="F26" s="106"/>
    </row>
    <row r="27" spans="1:6" ht="42" customHeight="1" x14ac:dyDescent="0.3">
      <c r="A27" s="98" t="s">
        <v>713</v>
      </c>
      <c r="B27" s="99" t="s">
        <v>714</v>
      </c>
      <c r="C27" s="100" t="s">
        <v>210</v>
      </c>
      <c r="D27" s="101"/>
      <c r="E27" s="102" t="str">
        <f t="shared" si="0"/>
        <v/>
      </c>
      <c r="F27" s="103"/>
    </row>
    <row r="28" spans="1:6" ht="42" customHeight="1" x14ac:dyDescent="0.3">
      <c r="A28" s="107"/>
      <c r="B28" s="108" t="s">
        <v>816</v>
      </c>
      <c r="C28" s="119" t="s">
        <v>808</v>
      </c>
      <c r="D28" s="120"/>
      <c r="E28" s="121" t="str">
        <f>IF(COUNT(E15:E27)=0,"–",SUM(E15:E27)/(2*COUNT(E15:E27)))</f>
        <v>–</v>
      </c>
      <c r="F28" s="122"/>
    </row>
    <row r="29" spans="1:6" ht="42" customHeight="1" x14ac:dyDescent="0.3">
      <c r="A29" s="113"/>
      <c r="B29" s="114"/>
      <c r="C29" s="115"/>
      <c r="D29" s="116"/>
      <c r="E29" s="117"/>
      <c r="F29" s="118"/>
    </row>
    <row r="30" spans="1:6" ht="42" customHeight="1" x14ac:dyDescent="0.3">
      <c r="A30" s="184" t="s">
        <v>817</v>
      </c>
      <c r="B30" s="184"/>
      <c r="C30" s="184"/>
      <c r="D30" s="184"/>
      <c r="E30" s="184"/>
      <c r="F30" s="184"/>
    </row>
    <row r="31" spans="1:6" ht="42" customHeight="1" x14ac:dyDescent="0.3">
      <c r="A31" s="98" t="s">
        <v>502</v>
      </c>
      <c r="B31" s="99" t="s">
        <v>213</v>
      </c>
      <c r="C31" s="100" t="s">
        <v>213</v>
      </c>
      <c r="D31" s="101"/>
      <c r="E31" s="102" t="str">
        <f t="shared" ref="E31:E38" si="1">IF(D31="erfüllt",2,IF(D31="teilweise",1,IF(D31="nicht erfüllt",0,"")))</f>
        <v/>
      </c>
      <c r="F31" s="103"/>
    </row>
    <row r="32" spans="1:6" ht="42" customHeight="1" x14ac:dyDescent="0.3">
      <c r="A32" s="104" t="s">
        <v>525</v>
      </c>
      <c r="B32" s="105" t="s">
        <v>223</v>
      </c>
      <c r="C32" s="20" t="s">
        <v>526</v>
      </c>
      <c r="D32" s="101"/>
      <c r="E32" s="102" t="str">
        <f t="shared" si="1"/>
        <v/>
      </c>
      <c r="F32" s="106"/>
    </row>
    <row r="33" spans="1:6" ht="42" customHeight="1" x14ac:dyDescent="0.3">
      <c r="A33" s="98" t="s">
        <v>532</v>
      </c>
      <c r="B33" s="99" t="s">
        <v>228</v>
      </c>
      <c r="C33" s="100" t="s">
        <v>228</v>
      </c>
      <c r="D33" s="101"/>
      <c r="E33" s="102" t="str">
        <f t="shared" si="1"/>
        <v/>
      </c>
      <c r="F33" s="103"/>
    </row>
    <row r="34" spans="1:6" ht="42" customHeight="1" x14ac:dyDescent="0.3">
      <c r="A34" s="104" t="s">
        <v>553</v>
      </c>
      <c r="B34" s="105" t="s">
        <v>554</v>
      </c>
      <c r="C34" s="20" t="s">
        <v>234</v>
      </c>
      <c r="D34" s="101"/>
      <c r="E34" s="102" t="str">
        <f t="shared" si="1"/>
        <v/>
      </c>
      <c r="F34" s="106"/>
    </row>
    <row r="35" spans="1:6" ht="42" customHeight="1" x14ac:dyDescent="0.3">
      <c r="A35" s="98" t="s">
        <v>580</v>
      </c>
      <c r="B35" s="99" t="s">
        <v>239</v>
      </c>
      <c r="C35" s="100" t="s">
        <v>239</v>
      </c>
      <c r="D35" s="101"/>
      <c r="E35" s="102" t="str">
        <f t="shared" si="1"/>
        <v/>
      </c>
      <c r="F35" s="103"/>
    </row>
    <row r="36" spans="1:6" ht="42" customHeight="1" x14ac:dyDescent="0.3">
      <c r="A36" s="104" t="s">
        <v>611</v>
      </c>
      <c r="B36" s="105" t="s">
        <v>250</v>
      </c>
      <c r="C36" s="20" t="s">
        <v>250</v>
      </c>
      <c r="D36" s="101"/>
      <c r="E36" s="102" t="str">
        <f t="shared" si="1"/>
        <v/>
      </c>
      <c r="F36" s="106"/>
    </row>
    <row r="37" spans="1:6" ht="42" customHeight="1" x14ac:dyDescent="0.3">
      <c r="A37" s="98" t="s">
        <v>634</v>
      </c>
      <c r="B37" s="99" t="s">
        <v>635</v>
      </c>
      <c r="C37" s="100" t="s">
        <v>254</v>
      </c>
      <c r="D37" s="101"/>
      <c r="E37" s="102" t="str">
        <f t="shared" si="1"/>
        <v/>
      </c>
      <c r="F37" s="103"/>
    </row>
    <row r="38" spans="1:6" ht="42" customHeight="1" x14ac:dyDescent="0.3">
      <c r="A38" s="104" t="s">
        <v>642</v>
      </c>
      <c r="B38" s="105" t="s">
        <v>262</v>
      </c>
      <c r="C38" s="20" t="s">
        <v>262</v>
      </c>
      <c r="D38" s="101"/>
      <c r="E38" s="102" t="str">
        <f t="shared" si="1"/>
        <v/>
      </c>
      <c r="F38" s="106"/>
    </row>
    <row r="39" spans="1:6" ht="42" customHeight="1" x14ac:dyDescent="0.3">
      <c r="A39" s="107"/>
      <c r="B39" s="108" t="s">
        <v>818</v>
      </c>
      <c r="C39" s="119" t="s">
        <v>808</v>
      </c>
      <c r="D39" s="120"/>
      <c r="E39" s="121" t="str">
        <f>IF(COUNT(E31:E38)=0,"–",SUM(E31:E38)/(2*COUNT(E31:E38)))</f>
        <v>–</v>
      </c>
      <c r="F39" s="122"/>
    </row>
    <row r="40" spans="1:6" ht="42" customHeight="1" x14ac:dyDescent="0.3">
      <c r="A40" s="113"/>
      <c r="B40" s="114"/>
      <c r="C40" s="115"/>
      <c r="D40" s="116"/>
      <c r="E40" s="117"/>
      <c r="F40" s="118"/>
    </row>
    <row r="41" spans="1:6" ht="42" customHeight="1" x14ac:dyDescent="0.3">
      <c r="A41" s="184" t="s">
        <v>819</v>
      </c>
      <c r="B41" s="184"/>
      <c r="C41" s="184"/>
      <c r="D41" s="184"/>
      <c r="E41" s="184"/>
      <c r="F41" s="184"/>
    </row>
    <row r="42" spans="1:6" ht="42" customHeight="1" x14ac:dyDescent="0.3">
      <c r="A42" s="98" t="s">
        <v>446</v>
      </c>
      <c r="B42" s="99" t="s">
        <v>268</v>
      </c>
      <c r="C42" s="100" t="s">
        <v>268</v>
      </c>
      <c r="D42" s="101"/>
      <c r="E42" s="102" t="str">
        <f t="shared" ref="E42:E52" si="2">IF(D42="erfüllt",2,IF(D42="teilweise",1,IF(D42="nicht erfüllt",0,"")))</f>
        <v/>
      </c>
      <c r="F42" s="103"/>
    </row>
    <row r="43" spans="1:6" ht="42" customHeight="1" x14ac:dyDescent="0.3">
      <c r="A43" s="104" t="s">
        <v>457</v>
      </c>
      <c r="B43" s="105" t="s">
        <v>273</v>
      </c>
      <c r="C43" s="20" t="s">
        <v>273</v>
      </c>
      <c r="D43" s="101"/>
      <c r="E43" s="102" t="str">
        <f t="shared" si="2"/>
        <v/>
      </c>
      <c r="F43" s="106"/>
    </row>
    <row r="44" spans="1:6" ht="42" customHeight="1" x14ac:dyDescent="0.3">
      <c r="A44" s="98" t="s">
        <v>460</v>
      </c>
      <c r="B44" s="99" t="s">
        <v>278</v>
      </c>
      <c r="C44" s="100" t="s">
        <v>278</v>
      </c>
      <c r="D44" s="101"/>
      <c r="E44" s="102" t="str">
        <f t="shared" si="2"/>
        <v/>
      </c>
      <c r="F44" s="103"/>
    </row>
    <row r="45" spans="1:6" ht="42" customHeight="1" x14ac:dyDescent="0.3">
      <c r="A45" s="104" t="s">
        <v>466</v>
      </c>
      <c r="B45" s="105" t="s">
        <v>467</v>
      </c>
      <c r="C45" s="20" t="s">
        <v>282</v>
      </c>
      <c r="D45" s="101"/>
      <c r="E45" s="102" t="str">
        <f t="shared" si="2"/>
        <v/>
      </c>
      <c r="F45" s="106"/>
    </row>
    <row r="46" spans="1:6" ht="42" customHeight="1" x14ac:dyDescent="0.3">
      <c r="A46" s="98" t="s">
        <v>469</v>
      </c>
      <c r="B46" s="99" t="s">
        <v>286</v>
      </c>
      <c r="C46" s="100" t="s">
        <v>286</v>
      </c>
      <c r="D46" s="101"/>
      <c r="E46" s="102" t="str">
        <f t="shared" si="2"/>
        <v/>
      </c>
      <c r="F46" s="103"/>
    </row>
    <row r="47" spans="1:6" ht="42" customHeight="1" x14ac:dyDescent="0.3">
      <c r="A47" s="104" t="s">
        <v>724</v>
      </c>
      <c r="B47" s="105" t="s">
        <v>294</v>
      </c>
      <c r="C47" s="20" t="s">
        <v>294</v>
      </c>
      <c r="D47" s="101"/>
      <c r="E47" s="102" t="str">
        <f t="shared" si="2"/>
        <v/>
      </c>
      <c r="F47" s="106"/>
    </row>
    <row r="48" spans="1:6" ht="42" customHeight="1" x14ac:dyDescent="0.3">
      <c r="A48" s="98" t="s">
        <v>727</v>
      </c>
      <c r="B48" s="99" t="s">
        <v>300</v>
      </c>
      <c r="C48" s="100" t="s">
        <v>300</v>
      </c>
      <c r="D48" s="101"/>
      <c r="E48" s="102" t="str">
        <f t="shared" si="2"/>
        <v/>
      </c>
      <c r="F48" s="103"/>
    </row>
    <row r="49" spans="1:6" ht="42" customHeight="1" x14ac:dyDescent="0.3">
      <c r="A49" s="104" t="s">
        <v>730</v>
      </c>
      <c r="B49" s="105" t="s">
        <v>305</v>
      </c>
      <c r="C49" s="20" t="s">
        <v>305</v>
      </c>
      <c r="D49" s="101"/>
      <c r="E49" s="102" t="str">
        <f t="shared" si="2"/>
        <v/>
      </c>
      <c r="F49" s="106"/>
    </row>
    <row r="50" spans="1:6" ht="42" customHeight="1" x14ac:dyDescent="0.3">
      <c r="A50" s="98" t="s">
        <v>733</v>
      </c>
      <c r="B50" s="99" t="s">
        <v>734</v>
      </c>
      <c r="C50" s="100" t="s">
        <v>316</v>
      </c>
      <c r="D50" s="101"/>
      <c r="E50" s="102" t="str">
        <f t="shared" si="2"/>
        <v/>
      </c>
      <c r="F50" s="103"/>
    </row>
    <row r="51" spans="1:6" ht="42" customHeight="1" x14ac:dyDescent="0.3">
      <c r="A51" s="104" t="s">
        <v>759</v>
      </c>
      <c r="B51" s="105" t="s">
        <v>760</v>
      </c>
      <c r="C51" s="20" t="s">
        <v>324</v>
      </c>
      <c r="D51" s="101"/>
      <c r="E51" s="102" t="str">
        <f t="shared" si="2"/>
        <v/>
      </c>
      <c r="F51" s="106"/>
    </row>
    <row r="52" spans="1:6" ht="42" customHeight="1" x14ac:dyDescent="0.3">
      <c r="A52" s="98" t="s">
        <v>763</v>
      </c>
      <c r="B52" s="99" t="s">
        <v>764</v>
      </c>
      <c r="C52" s="100" t="s">
        <v>329</v>
      </c>
      <c r="D52" s="101"/>
      <c r="E52" s="102" t="str">
        <f t="shared" si="2"/>
        <v/>
      </c>
      <c r="F52" s="103"/>
    </row>
    <row r="53" spans="1:6" ht="42" customHeight="1" x14ac:dyDescent="0.3">
      <c r="A53" s="107"/>
      <c r="B53" s="108" t="s">
        <v>820</v>
      </c>
      <c r="C53" s="119" t="s">
        <v>808</v>
      </c>
      <c r="D53" s="120"/>
      <c r="E53" s="121" t="str">
        <f>IF(COUNT(E42:E52)=0,"–",SUM(E42:E52)/(2*COUNT(E42:E52)))</f>
        <v>–</v>
      </c>
      <c r="F53" s="122"/>
    </row>
    <row r="54" spans="1:6" ht="42" customHeight="1" x14ac:dyDescent="0.3">
      <c r="A54" s="123"/>
      <c r="F54" s="124"/>
    </row>
    <row r="55" spans="1:6" ht="42" customHeight="1" x14ac:dyDescent="0.3">
      <c r="A55" s="185" t="s">
        <v>821</v>
      </c>
      <c r="B55" s="185"/>
      <c r="C55" s="185"/>
      <c r="D55" s="185"/>
      <c r="E55" s="125">
        <f>IF((COUNT(E8:E11)+COUNT(E15:E27)+COUNT(E31:E38)+COUNT(E42:E52))=0,"–",(SUM(E8:E11)+SUM(E15:E27)+SUM(E31:E38)+SUM(E42:E52))/(2*(COUNT(E8:E11)+COUNT(E15:E27)+COUNT(E31:E38)+COUNT(E42:E52))))</f>
        <v>0.75</v>
      </c>
      <c r="F55" s="112"/>
    </row>
    <row r="57" spans="1:6" ht="30" customHeight="1" x14ac:dyDescent="0.3">
      <c r="A57" s="169" t="s">
        <v>822</v>
      </c>
      <c r="B57" s="169"/>
      <c r="C57" s="169"/>
      <c r="D57" s="169"/>
      <c r="E57" s="169"/>
      <c r="F57" s="169"/>
    </row>
  </sheetData>
  <mergeCells count="9">
    <mergeCell ref="A30:F30"/>
    <mergeCell ref="A41:F41"/>
    <mergeCell ref="A55:D55"/>
    <mergeCell ref="A57:F57"/>
    <mergeCell ref="A1:F1"/>
    <mergeCell ref="A2:B2"/>
    <mergeCell ref="A3:F3"/>
    <mergeCell ref="A7:F7"/>
    <mergeCell ref="A14:F14"/>
  </mergeCells>
  <conditionalFormatting sqref="D8:D11">
    <cfRule type="cellIs" dxfId="15" priority="14" operator="equal">
      <formula>$I$5</formula>
    </cfRule>
    <cfRule type="cellIs" dxfId="14" priority="15" operator="equal">
      <formula>$I$4</formula>
    </cfRule>
    <cfRule type="cellIs" dxfId="13" priority="16" operator="equal">
      <formula>$I$3</formula>
    </cfRule>
    <cfRule type="cellIs" dxfId="12" priority="17" operator="equal">
      <formula>$I$2</formula>
    </cfRule>
  </conditionalFormatting>
  <conditionalFormatting sqref="D15:D27">
    <cfRule type="cellIs" dxfId="11" priority="10" operator="equal">
      <formula>$I$5</formula>
    </cfRule>
    <cfRule type="cellIs" dxfId="10" priority="11" operator="equal">
      <formula>$I$4</formula>
    </cfRule>
    <cfRule type="cellIs" dxfId="9" priority="12" operator="equal">
      <formula>$I$3</formula>
    </cfRule>
    <cfRule type="cellIs" dxfId="8" priority="13" operator="equal">
      <formula>$I$2</formula>
    </cfRule>
  </conditionalFormatting>
  <conditionalFormatting sqref="D31:D38">
    <cfRule type="cellIs" dxfId="7" priority="6" operator="equal">
      <formula>$I$5</formula>
    </cfRule>
    <cfRule type="cellIs" dxfId="6" priority="7" operator="equal">
      <formula>$I$4</formula>
    </cfRule>
    <cfRule type="cellIs" dxfId="5" priority="8" operator="equal">
      <formula>$I$3</formula>
    </cfRule>
    <cfRule type="cellIs" dxfId="4" priority="9" operator="equal">
      <formula>$I$2</formula>
    </cfRule>
  </conditionalFormatting>
  <conditionalFormatting sqref="D42:D52">
    <cfRule type="cellIs" dxfId="3" priority="2" operator="equal">
      <formula>$I$5</formula>
    </cfRule>
    <cfRule type="cellIs" dxfId="2" priority="3" operator="equal">
      <formula>$I$4</formula>
    </cfRule>
    <cfRule type="cellIs" dxfId="1" priority="4" operator="equal">
      <formula>$I$3</formula>
    </cfRule>
    <cfRule type="cellIs" dxfId="0" priority="5" operator="equal">
      <formula>$I$2</formula>
    </cfRule>
  </conditionalFormatting>
  <dataValidations count="1">
    <dataValidation type="list" allowBlank="1" showInputMessage="1" showErrorMessage="1" sqref="D8:D12 D15:D27 D31:D38 D42:D52" xr:uid="{00000000-0002-0000-1000-000000000000}">
      <formula1>$I$2:$I$6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A1:J52"/>
  <sheetViews>
    <sheetView zoomScaleNormal="100" workbookViewId="0">
      <pane ySplit="1" topLeftCell="A2" activePane="bottomLeft" state="frozen"/>
      <selection pane="bottomLeft" activeCell="C51" sqref="C51"/>
    </sheetView>
  </sheetViews>
  <sheetFormatPr baseColWidth="10" defaultColWidth="32.77734375" defaultRowHeight="14.4" x14ac:dyDescent="0.3"/>
  <cols>
    <col min="1" max="1" width="32.77734375" style="24"/>
    <col min="2" max="2" width="65.5546875" style="24" customWidth="1"/>
    <col min="3" max="3" width="14.88671875" style="24" customWidth="1"/>
    <col min="4" max="4" width="30.33203125" style="24" customWidth="1"/>
    <col min="5" max="5" width="21.6640625" style="24" customWidth="1"/>
    <col min="6" max="6" width="21.109375" style="24" customWidth="1"/>
    <col min="7" max="7" width="20.6640625" style="24" customWidth="1"/>
    <col min="8" max="8" width="23.33203125" style="24" customWidth="1"/>
    <col min="9" max="9" width="20.44140625" style="24" customWidth="1"/>
    <col min="10" max="16384" width="32.77734375" style="24"/>
  </cols>
  <sheetData>
    <row r="1" spans="1:9" ht="45.75" customHeight="1" x14ac:dyDescent="0.3">
      <c r="A1" s="186" t="s">
        <v>823</v>
      </c>
      <c r="B1" s="186"/>
    </row>
    <row r="2" spans="1:9" ht="45.75" customHeight="1" x14ac:dyDescent="0.3">
      <c r="A2" s="165" t="s">
        <v>824</v>
      </c>
      <c r="B2" s="165"/>
    </row>
    <row r="4" spans="1:9" ht="45.75" customHeight="1" x14ac:dyDescent="0.3">
      <c r="A4" s="187" t="s">
        <v>825</v>
      </c>
      <c r="B4" s="187"/>
    </row>
    <row r="5" spans="1:9" ht="45.75" customHeight="1" x14ac:dyDescent="0.3">
      <c r="A5" s="126" t="s">
        <v>826</v>
      </c>
      <c r="B5" s="127" t="s">
        <v>827</v>
      </c>
    </row>
    <row r="6" spans="1:9" ht="45.75" customHeight="1" x14ac:dyDescent="0.3">
      <c r="A6" s="126" t="s">
        <v>828</v>
      </c>
      <c r="B6" s="127" t="s">
        <v>829</v>
      </c>
    </row>
    <row r="7" spans="1:9" ht="45.75" customHeight="1" x14ac:dyDescent="0.3">
      <c r="A7" s="126" t="s">
        <v>830</v>
      </c>
      <c r="B7" s="127" t="s">
        <v>831</v>
      </c>
    </row>
    <row r="8" spans="1:9" ht="45.75" customHeight="1" x14ac:dyDescent="0.3">
      <c r="A8" s="126" t="s">
        <v>832</v>
      </c>
      <c r="B8" s="127" t="s">
        <v>833</v>
      </c>
    </row>
    <row r="9" spans="1:9" ht="45.75" customHeight="1" x14ac:dyDescent="0.3">
      <c r="A9" s="187" t="s">
        <v>834</v>
      </c>
      <c r="B9" s="187"/>
    </row>
    <row r="10" spans="1:9" ht="45.75" customHeight="1" x14ac:dyDescent="0.3">
      <c r="A10" s="126" t="s">
        <v>835</v>
      </c>
      <c r="B10" s="127" t="s">
        <v>836</v>
      </c>
      <c r="D10" s="24" t="s">
        <v>123</v>
      </c>
      <c r="E10" s="24" t="s">
        <v>836</v>
      </c>
      <c r="F10" s="24" t="s">
        <v>125</v>
      </c>
      <c r="G10" s="24" t="s">
        <v>837</v>
      </c>
      <c r="H10" s="24" t="s">
        <v>838</v>
      </c>
      <c r="I10" s="24" t="s">
        <v>839</v>
      </c>
    </row>
    <row r="11" spans="1:9" ht="45.75" customHeight="1" x14ac:dyDescent="0.3">
      <c r="A11" s="126" t="s">
        <v>840</v>
      </c>
      <c r="B11" s="127" t="s">
        <v>841</v>
      </c>
      <c r="D11" s="24" t="s">
        <v>841</v>
      </c>
      <c r="E11" s="24" t="s">
        <v>842</v>
      </c>
      <c r="F11" s="24" t="s">
        <v>843</v>
      </c>
      <c r="G11" s="24" t="s">
        <v>844</v>
      </c>
    </row>
    <row r="12" spans="1:9" ht="45.75" customHeight="1" x14ac:dyDescent="0.3">
      <c r="A12" s="126" t="s">
        <v>845</v>
      </c>
      <c r="B12" s="127"/>
      <c r="D12" s="24" t="s">
        <v>846</v>
      </c>
      <c r="E12" s="24" t="s">
        <v>151</v>
      </c>
    </row>
    <row r="13" spans="1:9" ht="45.75" customHeight="1" x14ac:dyDescent="0.3">
      <c r="A13" s="126" t="s">
        <v>847</v>
      </c>
      <c r="B13" s="127" t="s">
        <v>848</v>
      </c>
      <c r="D13" s="24" t="s">
        <v>849</v>
      </c>
      <c r="E13" s="24" t="s">
        <v>848</v>
      </c>
      <c r="F13" s="24" t="s">
        <v>850</v>
      </c>
      <c r="G13" s="24" t="s">
        <v>851</v>
      </c>
    </row>
    <row r="14" spans="1:9" ht="45.75" customHeight="1" x14ac:dyDescent="0.3">
      <c r="A14" s="126" t="s">
        <v>155</v>
      </c>
      <c r="B14" s="127" t="s">
        <v>477</v>
      </c>
    </row>
    <row r="15" spans="1:9" ht="45.75" customHeight="1" x14ac:dyDescent="0.3">
      <c r="A15" s="187" t="s">
        <v>852</v>
      </c>
      <c r="B15" s="187"/>
    </row>
    <row r="16" spans="1:9" ht="45.75" customHeight="1" x14ac:dyDescent="0.3">
      <c r="A16" s="126" t="s">
        <v>853</v>
      </c>
      <c r="B16" s="127" t="s">
        <v>854</v>
      </c>
      <c r="D16" s="128" t="s">
        <v>854</v>
      </c>
      <c r="E16" s="24" t="s">
        <v>855</v>
      </c>
      <c r="F16" s="24" t="s">
        <v>856</v>
      </c>
      <c r="G16" s="24" t="s">
        <v>857</v>
      </c>
    </row>
    <row r="17" spans="1:10" ht="45.75" customHeight="1" x14ac:dyDescent="0.3">
      <c r="A17" s="129" t="s">
        <v>858</v>
      </c>
      <c r="B17" s="127" t="s">
        <v>859</v>
      </c>
    </row>
    <row r="18" spans="1:10" ht="45.75" customHeight="1" x14ac:dyDescent="0.3">
      <c r="A18" s="126" t="s">
        <v>860</v>
      </c>
      <c r="B18" s="127" t="s">
        <v>861</v>
      </c>
      <c r="C18" s="24" t="s">
        <v>662</v>
      </c>
      <c r="D18" s="24" t="s">
        <v>862</v>
      </c>
      <c r="E18" s="24" t="s">
        <v>863</v>
      </c>
      <c r="F18" s="24" t="s">
        <v>864</v>
      </c>
    </row>
    <row r="19" spans="1:10" ht="45.75" customHeight="1" x14ac:dyDescent="0.3">
      <c r="A19" s="126" t="s">
        <v>865</v>
      </c>
      <c r="B19" s="127" t="s">
        <v>866</v>
      </c>
    </row>
    <row r="20" spans="1:10" ht="45.75" customHeight="1" x14ac:dyDescent="0.3">
      <c r="A20" s="126" t="s">
        <v>867</v>
      </c>
      <c r="B20" s="127" t="s">
        <v>868</v>
      </c>
    </row>
    <row r="21" spans="1:10" ht="45.75" customHeight="1" x14ac:dyDescent="0.3">
      <c r="A21" s="126" t="s">
        <v>869</v>
      </c>
      <c r="B21" s="127" t="s">
        <v>870</v>
      </c>
      <c r="D21" s="130" t="s">
        <v>871</v>
      </c>
      <c r="E21" s="130" t="s">
        <v>872</v>
      </c>
      <c r="F21" s="130" t="s">
        <v>873</v>
      </c>
      <c r="G21" s="130" t="s">
        <v>874</v>
      </c>
      <c r="H21" s="130"/>
    </row>
    <row r="22" spans="1:10" ht="45.75" customHeight="1" x14ac:dyDescent="0.3">
      <c r="A22" s="187" t="s">
        <v>875</v>
      </c>
      <c r="B22" s="187"/>
    </row>
    <row r="23" spans="1:10" ht="45.75" customHeight="1" x14ac:dyDescent="0.3">
      <c r="A23" s="126" t="s">
        <v>876</v>
      </c>
      <c r="B23" s="127" t="s">
        <v>877</v>
      </c>
      <c r="D23" s="130" t="s">
        <v>877</v>
      </c>
      <c r="E23" s="130" t="s">
        <v>878</v>
      </c>
      <c r="F23" s="130" t="s">
        <v>879</v>
      </c>
      <c r="G23" s="130"/>
    </row>
    <row r="24" spans="1:10" ht="45.75" customHeight="1" x14ac:dyDescent="0.3">
      <c r="A24" s="126" t="s">
        <v>880</v>
      </c>
      <c r="B24" s="127" t="s">
        <v>881</v>
      </c>
      <c r="D24" s="24" t="s">
        <v>227</v>
      </c>
      <c r="E24" s="24" t="s">
        <v>881</v>
      </c>
      <c r="F24" s="24" t="s">
        <v>882</v>
      </c>
    </row>
    <row r="25" spans="1:10" ht="45.75" customHeight="1" x14ac:dyDescent="0.3">
      <c r="A25" s="126" t="s">
        <v>883</v>
      </c>
      <c r="B25" s="127" t="s">
        <v>884</v>
      </c>
      <c r="D25" s="24" t="s">
        <v>885</v>
      </c>
      <c r="E25" s="24" t="s">
        <v>884</v>
      </c>
      <c r="F25" s="24" t="s">
        <v>886</v>
      </c>
    </row>
    <row r="26" spans="1:10" ht="45.75" customHeight="1" x14ac:dyDescent="0.3">
      <c r="A26" s="126" t="s">
        <v>887</v>
      </c>
      <c r="B26" s="127" t="s">
        <v>888</v>
      </c>
      <c r="D26" s="131">
        <v>1</v>
      </c>
      <c r="E26" s="131" t="s">
        <v>889</v>
      </c>
      <c r="F26" s="131" t="s">
        <v>888</v>
      </c>
      <c r="G26" s="131" t="s">
        <v>890</v>
      </c>
      <c r="H26" s="131" t="s">
        <v>891</v>
      </c>
      <c r="I26" s="131" t="s">
        <v>261</v>
      </c>
      <c r="J26" s="131"/>
    </row>
    <row r="27" spans="1:10" ht="45.75" customHeight="1" x14ac:dyDescent="0.3">
      <c r="A27" s="126" t="s">
        <v>892</v>
      </c>
      <c r="B27" s="127" t="s">
        <v>893</v>
      </c>
      <c r="D27" s="130" t="s">
        <v>894</v>
      </c>
      <c r="E27" s="130" t="s">
        <v>895</v>
      </c>
      <c r="F27" s="130" t="s">
        <v>893</v>
      </c>
      <c r="G27" s="130" t="s">
        <v>896</v>
      </c>
      <c r="H27" s="130" t="s">
        <v>897</v>
      </c>
      <c r="I27" s="130"/>
      <c r="J27" s="130"/>
    </row>
    <row r="28" spans="1:10" ht="45.75" customHeight="1" x14ac:dyDescent="0.3">
      <c r="A28" s="126" t="s">
        <v>898</v>
      </c>
      <c r="B28" s="127" t="s">
        <v>899</v>
      </c>
      <c r="D28" s="24" t="s">
        <v>899</v>
      </c>
      <c r="E28" s="24" t="s">
        <v>900</v>
      </c>
    </row>
    <row r="29" spans="1:10" ht="45.75" customHeight="1" x14ac:dyDescent="0.3">
      <c r="A29" s="187" t="s">
        <v>901</v>
      </c>
      <c r="B29" s="187"/>
    </row>
    <row r="30" spans="1:10" ht="45.75" customHeight="1" x14ac:dyDescent="0.3">
      <c r="A30" s="126" t="s">
        <v>666</v>
      </c>
      <c r="B30" s="127" t="s">
        <v>902</v>
      </c>
      <c r="D30" s="132" t="s">
        <v>903</v>
      </c>
      <c r="E30" s="130" t="s">
        <v>172</v>
      </c>
      <c r="F30" s="130" t="s">
        <v>904</v>
      </c>
      <c r="G30" s="130" t="s">
        <v>905</v>
      </c>
    </row>
    <row r="31" spans="1:10" ht="45.75" customHeight="1" x14ac:dyDescent="0.3">
      <c r="A31" s="126" t="s">
        <v>175</v>
      </c>
      <c r="B31" s="127" t="s">
        <v>906</v>
      </c>
      <c r="D31" s="24" t="s">
        <v>907</v>
      </c>
      <c r="E31" s="24" t="s">
        <v>908</v>
      </c>
      <c r="F31" s="24" t="s">
        <v>178</v>
      </c>
    </row>
    <row r="32" spans="1:10" ht="45.75" customHeight="1" x14ac:dyDescent="0.3">
      <c r="A32" s="126" t="s">
        <v>179</v>
      </c>
      <c r="B32" s="127" t="s">
        <v>909</v>
      </c>
      <c r="D32" s="71" t="s">
        <v>910</v>
      </c>
      <c r="E32" s="71" t="s">
        <v>181</v>
      </c>
      <c r="F32" s="71" t="s">
        <v>182</v>
      </c>
      <c r="G32" s="71" t="s">
        <v>183</v>
      </c>
    </row>
    <row r="33" spans="1:10" ht="45.75" customHeight="1" x14ac:dyDescent="0.3">
      <c r="A33" s="126" t="s">
        <v>911</v>
      </c>
      <c r="B33" s="127" t="s">
        <v>188</v>
      </c>
      <c r="D33" s="75" t="s">
        <v>185</v>
      </c>
      <c r="E33" s="75" t="s">
        <v>912</v>
      </c>
      <c r="F33" s="75" t="s">
        <v>187</v>
      </c>
      <c r="G33" s="75" t="s">
        <v>188</v>
      </c>
      <c r="H33" s="75" t="s">
        <v>189</v>
      </c>
      <c r="I33" s="75" t="s">
        <v>913</v>
      </c>
      <c r="J33" s="75" t="s">
        <v>914</v>
      </c>
    </row>
    <row r="34" spans="1:10" ht="45.75" customHeight="1" x14ac:dyDescent="0.3">
      <c r="A34" s="126" t="s">
        <v>915</v>
      </c>
      <c r="B34" s="127" t="s">
        <v>849</v>
      </c>
      <c r="D34" s="24" t="s">
        <v>849</v>
      </c>
      <c r="E34" s="24" t="s">
        <v>848</v>
      </c>
      <c r="F34" s="24" t="s">
        <v>850</v>
      </c>
      <c r="G34" s="24" t="s">
        <v>851</v>
      </c>
    </row>
    <row r="35" spans="1:10" ht="45.75" customHeight="1" x14ac:dyDescent="0.3">
      <c r="A35" s="187" t="s">
        <v>916</v>
      </c>
      <c r="B35" s="187"/>
    </row>
    <row r="36" spans="1:10" ht="45.75" customHeight="1" x14ac:dyDescent="0.3">
      <c r="A36" s="126" t="s">
        <v>917</v>
      </c>
      <c r="B36" s="127" t="s">
        <v>918</v>
      </c>
      <c r="D36" s="37" t="s">
        <v>919</v>
      </c>
      <c r="E36" s="37" t="s">
        <v>920</v>
      </c>
      <c r="F36" s="37" t="s">
        <v>921</v>
      </c>
      <c r="G36" s="37" t="s">
        <v>918</v>
      </c>
      <c r="H36" s="37" t="s">
        <v>922</v>
      </c>
      <c r="I36" s="37" t="s">
        <v>923</v>
      </c>
      <c r="J36" s="37" t="s">
        <v>924</v>
      </c>
    </row>
    <row r="37" spans="1:10" ht="45.75" customHeight="1" x14ac:dyDescent="0.3">
      <c r="A37" s="126" t="s">
        <v>925</v>
      </c>
      <c r="B37" s="127" t="s">
        <v>926</v>
      </c>
      <c r="D37" s="133" t="s">
        <v>295</v>
      </c>
      <c r="E37" s="133" t="s">
        <v>927</v>
      </c>
      <c r="F37" s="133" t="s">
        <v>928</v>
      </c>
      <c r="G37" s="133" t="s">
        <v>929</v>
      </c>
      <c r="H37" s="133" t="s">
        <v>930</v>
      </c>
      <c r="I37" s="133"/>
      <c r="J37" s="133"/>
    </row>
    <row r="38" spans="1:10" ht="45.75" customHeight="1" x14ac:dyDescent="0.3">
      <c r="A38" s="126" t="s">
        <v>931</v>
      </c>
      <c r="B38" s="127" t="s">
        <v>932</v>
      </c>
    </row>
    <row r="39" spans="1:10" ht="45.75" customHeight="1" x14ac:dyDescent="0.3">
      <c r="A39" s="126" t="s">
        <v>933</v>
      </c>
      <c r="B39" s="127" t="s">
        <v>934</v>
      </c>
    </row>
    <row r="40" spans="1:10" ht="45.75" customHeight="1" x14ac:dyDescent="0.3">
      <c r="A40" s="126" t="s">
        <v>935</v>
      </c>
      <c r="B40" s="127" t="s">
        <v>936</v>
      </c>
      <c r="D40" s="24" t="s">
        <v>937</v>
      </c>
      <c r="E40" s="24" t="s">
        <v>938</v>
      </c>
      <c r="F40" s="24" t="s">
        <v>939</v>
      </c>
    </row>
    <row r="41" spans="1:10" ht="45.75" customHeight="1" x14ac:dyDescent="0.3">
      <c r="A41" s="126" t="s">
        <v>940</v>
      </c>
      <c r="B41" s="127" t="s">
        <v>941</v>
      </c>
      <c r="D41" s="24" t="s">
        <v>942</v>
      </c>
      <c r="E41" s="24" t="s">
        <v>943</v>
      </c>
    </row>
    <row r="42" spans="1:10" ht="45.75" customHeight="1" x14ac:dyDescent="0.3">
      <c r="A42" s="126" t="s">
        <v>944</v>
      </c>
      <c r="B42" s="127" t="s">
        <v>941</v>
      </c>
      <c r="D42" s="24" t="s">
        <v>945</v>
      </c>
      <c r="E42" s="24" t="s">
        <v>946</v>
      </c>
    </row>
    <row r="43" spans="1:10" ht="45.75" customHeight="1" x14ac:dyDescent="0.3">
      <c r="A43" s="187" t="s">
        <v>947</v>
      </c>
      <c r="B43" s="187"/>
    </row>
    <row r="44" spans="1:10" ht="45.75" customHeight="1" x14ac:dyDescent="0.3">
      <c r="A44" s="126" t="s">
        <v>948</v>
      </c>
      <c r="B44" s="127" t="s">
        <v>702</v>
      </c>
    </row>
    <row r="45" spans="1:10" ht="45.75" customHeight="1" x14ac:dyDescent="0.3">
      <c r="A45" s="126" t="s">
        <v>949</v>
      </c>
      <c r="B45" s="127" t="s">
        <v>703</v>
      </c>
    </row>
    <row r="46" spans="1:10" ht="45.75" customHeight="1" x14ac:dyDescent="0.3">
      <c r="A46" s="126" t="s">
        <v>950</v>
      </c>
      <c r="B46" s="127" t="s">
        <v>951</v>
      </c>
    </row>
    <row r="47" spans="1:10" ht="45.75" customHeight="1" x14ac:dyDescent="0.3">
      <c r="A47" s="187" t="s">
        <v>952</v>
      </c>
      <c r="B47" s="187"/>
    </row>
    <row r="48" spans="1:10" ht="45.75" customHeight="1" x14ac:dyDescent="0.3">
      <c r="A48" s="126" t="s">
        <v>953</v>
      </c>
      <c r="B48" s="127" t="s">
        <v>954</v>
      </c>
    </row>
    <row r="49" spans="1:2" ht="45.75" customHeight="1" x14ac:dyDescent="0.3">
      <c r="A49" s="126" t="s">
        <v>955</v>
      </c>
      <c r="B49" s="127" t="s">
        <v>956</v>
      </c>
    </row>
    <row r="50" spans="1:2" ht="45.75" customHeight="1" x14ac:dyDescent="0.3">
      <c r="A50" s="126" t="s">
        <v>957</v>
      </c>
      <c r="B50" s="127" t="s">
        <v>958</v>
      </c>
    </row>
    <row r="52" spans="1:2" ht="45.75" customHeight="1" x14ac:dyDescent="0.3">
      <c r="A52" s="169" t="s">
        <v>959</v>
      </c>
      <c r="B52" s="169"/>
    </row>
  </sheetData>
  <mergeCells count="11">
    <mergeCell ref="A52:B52"/>
    <mergeCell ref="A22:B22"/>
    <mergeCell ref="A29:B29"/>
    <mergeCell ref="A35:B35"/>
    <mergeCell ref="A43:B43"/>
    <mergeCell ref="A47:B47"/>
    <mergeCell ref="A1:B1"/>
    <mergeCell ref="A2:B2"/>
    <mergeCell ref="A4:B4"/>
    <mergeCell ref="A9:B9"/>
    <mergeCell ref="A15:B15"/>
  </mergeCells>
  <dataValidations count="23">
    <dataValidation type="list" allowBlank="1" showInputMessage="1" showErrorMessage="1" sqref="B10" xr:uid="{00000000-0002-0000-1100-000000000000}">
      <formula1>$D$10:$I$10</formula1>
      <formula2>0</formula2>
    </dataValidation>
    <dataValidation type="list" allowBlank="1" showInputMessage="1" showErrorMessage="1" sqref="B11" xr:uid="{00000000-0002-0000-1100-000001000000}">
      <formula1>$D$11:$G$11</formula1>
      <formula2>0</formula2>
    </dataValidation>
    <dataValidation type="list" allowBlank="1" showInputMessage="1" showErrorMessage="1" sqref="B12" xr:uid="{00000000-0002-0000-1100-000002000000}">
      <formula1>$D$12:$E$12</formula1>
      <formula2>0</formula2>
    </dataValidation>
    <dataValidation type="list" allowBlank="1" showInputMessage="1" showErrorMessage="1" sqref="B13" xr:uid="{00000000-0002-0000-1100-000003000000}">
      <formula1>$D$13:$G$13</formula1>
      <formula2>0</formula2>
    </dataValidation>
    <dataValidation type="list" allowBlank="1" showInputMessage="1" showErrorMessage="1" sqref="B23" xr:uid="{00000000-0002-0000-1100-000004000000}">
      <formula1>$D$23:$F$23</formula1>
      <formula2>0</formula2>
    </dataValidation>
    <dataValidation type="list" allowBlank="1" showInputMessage="1" showErrorMessage="1" sqref="B24" xr:uid="{00000000-0002-0000-1100-000005000000}">
      <formula1>$D$24:$F$24</formula1>
      <formula2>0</formula2>
    </dataValidation>
    <dataValidation type="list" allowBlank="1" showInputMessage="1" showErrorMessage="1" sqref="B26" xr:uid="{00000000-0002-0000-1100-000006000000}">
      <formula1>$D$26:$I$26</formula1>
      <formula2>0</formula2>
    </dataValidation>
    <dataValidation type="list" allowBlank="1" showInputMessage="1" showErrorMessage="1" sqref="B25" xr:uid="{00000000-0002-0000-1100-000007000000}">
      <formula1>$D$25:$F$25</formula1>
      <formula2>0</formula2>
    </dataValidation>
    <dataValidation type="list" allowBlank="1" showInputMessage="1" showErrorMessage="1" sqref="B27" xr:uid="{00000000-0002-0000-1100-000008000000}">
      <formula1>$D$27:$H$27</formula1>
      <formula2>0</formula2>
    </dataValidation>
    <dataValidation type="list" allowBlank="1" showInputMessage="1" showErrorMessage="1" sqref="B28" xr:uid="{00000000-0002-0000-1100-000009000000}">
      <formula1>$D$28:$E$28</formula1>
      <formula2>0</formula2>
    </dataValidation>
    <dataValidation type="list" allowBlank="1" showInputMessage="1" showErrorMessage="1" sqref="B16" xr:uid="{00000000-0002-0000-1100-00000A000000}">
      <formula1>$D$16:$G$16</formula1>
      <formula2>0</formula2>
    </dataValidation>
    <dataValidation type="list" allowBlank="1" showInputMessage="1" showErrorMessage="1" sqref="B18" xr:uid="{00000000-0002-0000-1100-00000B000000}">
      <formula1>$D$18:$F$18</formula1>
      <formula2>0</formula2>
    </dataValidation>
    <dataValidation type="list" allowBlank="1" showInputMessage="1" showErrorMessage="1" sqref="B21" xr:uid="{00000000-0002-0000-1100-00000C000000}">
      <formula1>$D$21:$G$21</formula1>
      <formula2>0</formula2>
    </dataValidation>
    <dataValidation type="list" allowBlank="1" showInputMessage="1" showErrorMessage="1" sqref="B30" xr:uid="{00000000-0002-0000-1100-00000D000000}">
      <formula1>$D$30:$G$30</formula1>
      <formula2>0</formula2>
    </dataValidation>
    <dataValidation type="list" allowBlank="1" showInputMessage="1" showErrorMessage="1" sqref="B31" xr:uid="{00000000-0002-0000-1100-00000E000000}">
      <formula1>$D$31:$F$31</formula1>
      <formula2>0</formula2>
    </dataValidation>
    <dataValidation type="list" allowBlank="1" showInputMessage="1" showErrorMessage="1" sqref="B32" xr:uid="{00000000-0002-0000-1100-00000F000000}">
      <formula1>$D$32:$G$32</formula1>
      <formula2>0</formula2>
    </dataValidation>
    <dataValidation type="list" allowBlank="1" showInputMessage="1" showErrorMessage="1" sqref="B33 D33:J33" xr:uid="{00000000-0002-0000-1100-000010000000}">
      <formula1>$D$33:$J$33</formula1>
      <formula2>0</formula2>
    </dataValidation>
    <dataValidation type="list" allowBlank="1" showInputMessage="1" showErrorMessage="1" sqref="B34" xr:uid="{00000000-0002-0000-1100-000011000000}">
      <formula1>$D$34:$G$34</formula1>
      <formula2>0</formula2>
    </dataValidation>
    <dataValidation type="list" allowBlank="1" showInputMessage="1" showErrorMessage="1" sqref="B36" xr:uid="{00000000-0002-0000-1100-000012000000}">
      <formula1>$D$36:$J$36</formula1>
      <formula2>0</formula2>
    </dataValidation>
    <dataValidation type="list" allowBlank="1" showInputMessage="1" showErrorMessage="1" sqref="B37" xr:uid="{00000000-0002-0000-1100-000013000000}">
      <formula1>$D$37:$H$37</formula1>
      <formula2>0</formula2>
    </dataValidation>
    <dataValidation type="list" allowBlank="1" showInputMessage="1" showErrorMessage="1" sqref="B40" xr:uid="{00000000-0002-0000-1100-000014000000}">
      <formula1>$D$40:$F$40</formula1>
      <formula2>0</formula2>
    </dataValidation>
    <dataValidation type="list" allowBlank="1" showInputMessage="1" showErrorMessage="1" sqref="B41" xr:uid="{00000000-0002-0000-1100-000015000000}">
      <formula1>$D$41:$E$41</formula1>
      <formula2>0</formula2>
    </dataValidation>
    <dataValidation type="list" allowBlank="1" showInputMessage="1" showErrorMessage="1" sqref="B42" xr:uid="{00000000-0002-0000-1100-000016000000}">
      <formula1>$D$42:$E$42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V6"/>
  <sheetViews>
    <sheetView topLeftCell="AI1" zoomScaleNormal="100" workbookViewId="0">
      <selection activeCell="AS10" sqref="AS10"/>
    </sheetView>
  </sheetViews>
  <sheetFormatPr baseColWidth="10" defaultColWidth="11.5546875" defaultRowHeight="14.4" x14ac:dyDescent="0.3"/>
  <cols>
    <col min="1" max="1" width="17.5546875" style="134" customWidth="1"/>
    <col min="2" max="2" width="18" style="134" customWidth="1"/>
    <col min="3" max="3" width="20.77734375" style="134" customWidth="1"/>
    <col min="4" max="4" width="17.44140625" style="134" customWidth="1"/>
    <col min="5" max="5" width="18.88671875" style="134" customWidth="1"/>
    <col min="6" max="8" width="11.5546875" style="134"/>
    <col min="9" max="9" width="19.109375" style="134" customWidth="1"/>
    <col min="10" max="16" width="11.5546875" style="134"/>
    <col min="17" max="18" width="19.33203125" style="134" customWidth="1"/>
    <col min="19" max="20" width="11.5546875" style="134"/>
    <col min="21" max="21" width="24.77734375" style="134" customWidth="1"/>
    <col min="22" max="33" width="11.5546875" style="134"/>
    <col min="34" max="34" width="17.5546875" style="134" customWidth="1"/>
    <col min="35" max="35" width="18" style="134" customWidth="1"/>
    <col min="36" max="37" width="19.33203125" style="134" customWidth="1"/>
    <col min="38" max="47" width="11.5546875" style="134"/>
    <col min="48" max="48" width="22.21875" style="134" customWidth="1"/>
    <col min="49" max="16384" width="11.5546875" style="134"/>
  </cols>
  <sheetData>
    <row r="1" spans="1:48" s="137" customFormat="1" ht="29.25" customHeight="1" x14ac:dyDescent="0.3">
      <c r="A1" s="14" t="s">
        <v>960</v>
      </c>
      <c r="B1" s="14"/>
      <c r="C1" s="14"/>
      <c r="D1" s="13" t="s">
        <v>961</v>
      </c>
      <c r="E1" s="13"/>
      <c r="F1" s="13"/>
      <c r="G1" s="13"/>
      <c r="H1" s="14" t="s">
        <v>962</v>
      </c>
      <c r="I1" s="14"/>
      <c r="J1" s="14"/>
      <c r="K1" s="14"/>
      <c r="L1" s="14" t="s">
        <v>963</v>
      </c>
      <c r="M1" s="14"/>
      <c r="N1" s="14"/>
      <c r="O1" s="14" t="s">
        <v>964</v>
      </c>
      <c r="P1" s="14"/>
      <c r="Q1" s="14"/>
      <c r="R1" s="14"/>
      <c r="S1" s="14"/>
      <c r="T1" s="14"/>
      <c r="U1" s="14"/>
      <c r="V1" s="13" t="s">
        <v>965</v>
      </c>
      <c r="W1" s="13"/>
      <c r="X1" s="13"/>
      <c r="Y1" s="13"/>
      <c r="Z1" s="13"/>
      <c r="AA1" s="13"/>
      <c r="AB1" s="13"/>
      <c r="AC1" s="13" t="s">
        <v>966</v>
      </c>
      <c r="AD1" s="13"/>
      <c r="AE1" s="13"/>
      <c r="AF1" s="13"/>
      <c r="AG1" s="13" t="s">
        <v>967</v>
      </c>
      <c r="AH1" s="13"/>
      <c r="AI1" s="13"/>
      <c r="AJ1" s="13"/>
      <c r="AK1" s="13"/>
      <c r="AL1" s="13" t="s">
        <v>968</v>
      </c>
      <c r="AM1" s="13"/>
      <c r="AN1" s="13"/>
      <c r="AO1" s="13"/>
      <c r="AP1" s="13" t="s">
        <v>969</v>
      </c>
      <c r="AQ1" s="13"/>
      <c r="AR1" s="13"/>
      <c r="AS1" s="13"/>
      <c r="AT1" s="14" t="s">
        <v>970</v>
      </c>
      <c r="AU1" s="14"/>
      <c r="AV1" s="135" t="s">
        <v>971</v>
      </c>
    </row>
    <row r="2" spans="1:48" s="137" customFormat="1" ht="54.75" customHeight="1" x14ac:dyDescent="0.3">
      <c r="A2" s="138" t="s">
        <v>972</v>
      </c>
      <c r="B2" s="136" t="s">
        <v>973</v>
      </c>
      <c r="C2" s="139" t="s">
        <v>974</v>
      </c>
      <c r="D2" s="14" t="s">
        <v>975</v>
      </c>
      <c r="E2" s="14"/>
      <c r="F2" s="137" t="s">
        <v>976</v>
      </c>
      <c r="G2" s="135" t="s">
        <v>977</v>
      </c>
      <c r="H2" s="138" t="s">
        <v>978</v>
      </c>
      <c r="I2" s="140" t="s">
        <v>979</v>
      </c>
      <c r="J2" s="140" t="s">
        <v>980</v>
      </c>
      <c r="K2" s="139" t="s">
        <v>981</v>
      </c>
      <c r="L2" s="138" t="s">
        <v>982</v>
      </c>
      <c r="M2" s="139" t="s">
        <v>983</v>
      </c>
      <c r="N2" s="139" t="s">
        <v>984</v>
      </c>
      <c r="O2" s="13" t="s">
        <v>985</v>
      </c>
      <c r="P2" s="13"/>
      <c r="Q2" s="13" t="s">
        <v>986</v>
      </c>
      <c r="R2" s="13"/>
      <c r="S2" s="13" t="s">
        <v>987</v>
      </c>
      <c r="T2" s="13"/>
      <c r="U2" s="136" t="s">
        <v>2</v>
      </c>
      <c r="V2" s="13" t="s">
        <v>988</v>
      </c>
      <c r="W2" s="13"/>
      <c r="X2" s="140" t="s">
        <v>989</v>
      </c>
      <c r="Y2" s="136" t="s">
        <v>990</v>
      </c>
      <c r="Z2" s="140" t="s">
        <v>991</v>
      </c>
      <c r="AA2" s="13" t="s">
        <v>992</v>
      </c>
      <c r="AB2" s="13"/>
      <c r="AC2" s="138" t="s">
        <v>993</v>
      </c>
      <c r="AD2" s="136" t="s">
        <v>994</v>
      </c>
      <c r="AE2" s="140" t="s">
        <v>995</v>
      </c>
      <c r="AF2" s="135" t="s">
        <v>996</v>
      </c>
      <c r="AG2" s="135" t="s">
        <v>997</v>
      </c>
      <c r="AH2" s="137" t="s">
        <v>998</v>
      </c>
      <c r="AI2" s="135" t="s">
        <v>999</v>
      </c>
      <c r="AJ2" s="137" t="s">
        <v>1000</v>
      </c>
      <c r="AK2" s="135" t="s">
        <v>1001</v>
      </c>
      <c r="AL2" s="136" t="s">
        <v>1002</v>
      </c>
      <c r="AM2" s="140" t="s">
        <v>1003</v>
      </c>
      <c r="AN2" s="136" t="s">
        <v>1004</v>
      </c>
      <c r="AO2" s="139" t="s">
        <v>1005</v>
      </c>
      <c r="AP2" s="137" t="s">
        <v>1006</v>
      </c>
      <c r="AQ2" s="136" t="s">
        <v>1007</v>
      </c>
      <c r="AR2" s="136" t="s">
        <v>1008</v>
      </c>
      <c r="AS2" s="136" t="s">
        <v>1009</v>
      </c>
      <c r="AT2" s="136" t="s">
        <v>1010</v>
      </c>
      <c r="AU2" s="139" t="s">
        <v>1011</v>
      </c>
      <c r="AV2" s="136" t="s">
        <v>1012</v>
      </c>
    </row>
    <row r="3" spans="1:48" ht="101.25" customHeight="1" x14ac:dyDescent="0.3">
      <c r="A3" s="12" t="s">
        <v>1013</v>
      </c>
      <c r="B3" s="11" t="s">
        <v>1014</v>
      </c>
      <c r="C3" s="10" t="s">
        <v>1015</v>
      </c>
      <c r="D3" s="9" t="s">
        <v>1016</v>
      </c>
      <c r="E3" s="8" t="s">
        <v>1017</v>
      </c>
      <c r="F3" s="7" t="s">
        <v>1018</v>
      </c>
      <c r="G3" s="6" t="s">
        <v>1019</v>
      </c>
      <c r="H3" s="6" t="s">
        <v>1020</v>
      </c>
      <c r="I3" s="5" t="s">
        <v>1021</v>
      </c>
      <c r="J3" s="6" t="s">
        <v>1022</v>
      </c>
      <c r="K3" s="10" t="s">
        <v>1023</v>
      </c>
      <c r="L3" s="142" t="s">
        <v>1024</v>
      </c>
      <c r="M3" s="143" t="s">
        <v>1025</v>
      </c>
      <c r="N3" s="10" t="s">
        <v>1026</v>
      </c>
      <c r="O3" s="4" t="s">
        <v>1027</v>
      </c>
      <c r="P3" s="4"/>
      <c r="Q3" s="4" t="s">
        <v>1028</v>
      </c>
      <c r="R3" s="4"/>
      <c r="S3" s="4" t="s">
        <v>1029</v>
      </c>
      <c r="T3" s="4"/>
      <c r="U3" s="141" t="s">
        <v>31</v>
      </c>
      <c r="V3" s="3" t="s">
        <v>1030</v>
      </c>
      <c r="W3" s="10" t="s">
        <v>1031</v>
      </c>
      <c r="X3" s="134" t="s">
        <v>1032</v>
      </c>
      <c r="Y3" s="2" t="s">
        <v>1033</v>
      </c>
      <c r="Z3" s="5" t="s">
        <v>1034</v>
      </c>
      <c r="AA3" s="11" t="s">
        <v>1035</v>
      </c>
      <c r="AB3" s="11"/>
      <c r="AC3" s="12" t="s">
        <v>1036</v>
      </c>
      <c r="AD3" s="141" t="s">
        <v>1037</v>
      </c>
      <c r="AE3" s="5" t="s">
        <v>1038</v>
      </c>
      <c r="AF3" s="6" t="s">
        <v>1039</v>
      </c>
      <c r="AG3" s="6" t="s">
        <v>1040</v>
      </c>
      <c r="AH3" s="7" t="s">
        <v>1041</v>
      </c>
      <c r="AI3" s="6" t="s">
        <v>1042</v>
      </c>
      <c r="AJ3" s="7" t="s">
        <v>1043</v>
      </c>
      <c r="AK3" s="6" t="s">
        <v>1044</v>
      </c>
      <c r="AL3" s="6" t="s">
        <v>1045</v>
      </c>
      <c r="AM3" s="7" t="s">
        <v>1046</v>
      </c>
      <c r="AN3" s="6" t="s">
        <v>1047</v>
      </c>
      <c r="AO3" s="8" t="s">
        <v>1047</v>
      </c>
      <c r="AP3" s="1" t="s">
        <v>1048</v>
      </c>
      <c r="AQ3" s="6" t="s">
        <v>1049</v>
      </c>
      <c r="AR3" s="6" t="s">
        <v>1050</v>
      </c>
      <c r="AS3" s="8" t="s">
        <v>1051</v>
      </c>
      <c r="AT3" s="2" t="s">
        <v>1052</v>
      </c>
      <c r="AU3" s="10" t="s">
        <v>1053</v>
      </c>
      <c r="AV3" s="141" t="s">
        <v>1049</v>
      </c>
    </row>
    <row r="4" spans="1:48" ht="43.5" customHeight="1" x14ac:dyDescent="0.3">
      <c r="A4" s="12"/>
      <c r="B4" s="11"/>
      <c r="C4" s="10"/>
      <c r="D4" s="9"/>
      <c r="E4" s="8"/>
      <c r="F4" s="7"/>
      <c r="G4" s="6"/>
      <c r="H4" s="6"/>
      <c r="I4" s="5"/>
      <c r="J4" s="6"/>
      <c r="K4" s="10"/>
      <c r="L4" s="142" t="s">
        <v>1054</v>
      </c>
      <c r="M4" s="142" t="s">
        <v>1055</v>
      </c>
      <c r="N4" s="10"/>
      <c r="O4" s="11" t="s">
        <v>1056</v>
      </c>
      <c r="P4" s="11"/>
      <c r="Q4" s="4"/>
      <c r="R4" s="4"/>
      <c r="S4" s="4"/>
      <c r="T4" s="4"/>
      <c r="U4" s="141" t="s">
        <v>1057</v>
      </c>
      <c r="V4" s="3"/>
      <c r="W4" s="10"/>
      <c r="X4" s="134" t="s">
        <v>1058</v>
      </c>
      <c r="Y4" s="2"/>
      <c r="Z4" s="5"/>
      <c r="AA4" s="11"/>
      <c r="AB4" s="11"/>
      <c r="AC4" s="12"/>
      <c r="AD4" s="141" t="s">
        <v>1059</v>
      </c>
      <c r="AE4" s="5"/>
      <c r="AF4" s="6"/>
      <c r="AG4" s="6"/>
      <c r="AH4" s="7"/>
      <c r="AI4" s="6"/>
      <c r="AJ4" s="7"/>
      <c r="AK4" s="6"/>
      <c r="AL4" s="6"/>
      <c r="AM4" s="7"/>
      <c r="AN4" s="6"/>
      <c r="AO4" s="8"/>
      <c r="AP4" s="1"/>
      <c r="AQ4" s="6"/>
      <c r="AR4" s="6"/>
      <c r="AS4" s="8"/>
      <c r="AT4" s="2"/>
      <c r="AU4" s="10"/>
      <c r="AV4" s="141" t="s">
        <v>1060</v>
      </c>
    </row>
    <row r="5" spans="1:48" ht="57" customHeight="1" x14ac:dyDescent="0.3">
      <c r="A5" s="12"/>
      <c r="B5" s="2"/>
      <c r="C5" s="10"/>
      <c r="D5" s="12" t="s">
        <v>1061</v>
      </c>
      <c r="E5" s="8"/>
      <c r="F5" s="7"/>
      <c r="G5" s="6"/>
      <c r="H5" s="6"/>
      <c r="I5" s="5"/>
      <c r="J5" s="6"/>
      <c r="K5" s="10"/>
      <c r="L5" s="2" t="s">
        <v>1062</v>
      </c>
      <c r="M5" s="2"/>
      <c r="N5" s="10"/>
      <c r="O5" s="11" t="s">
        <v>1063</v>
      </c>
      <c r="P5" s="11"/>
      <c r="Q5" s="2" t="s">
        <v>1064</v>
      </c>
      <c r="R5" s="2"/>
      <c r="S5" s="163" t="s">
        <v>1065</v>
      </c>
      <c r="T5" s="163"/>
      <c r="U5" s="141" t="s">
        <v>128</v>
      </c>
      <c r="V5" s="12" t="s">
        <v>1066</v>
      </c>
      <c r="W5" s="10"/>
      <c r="X5" s="5" t="s">
        <v>1067</v>
      </c>
      <c r="Y5" s="2"/>
      <c r="Z5" s="5"/>
      <c r="AA5" s="12" t="s">
        <v>1068</v>
      </c>
      <c r="AB5" s="10" t="s">
        <v>1069</v>
      </c>
      <c r="AC5" s="12"/>
      <c r="AD5" s="2" t="s">
        <v>1070</v>
      </c>
      <c r="AE5" s="5"/>
      <c r="AF5" s="6"/>
      <c r="AG5" s="6"/>
      <c r="AH5" s="7"/>
      <c r="AI5" s="6"/>
      <c r="AJ5" s="7"/>
      <c r="AK5" s="6"/>
      <c r="AL5" s="6"/>
      <c r="AM5" s="7"/>
      <c r="AN5" s="6"/>
      <c r="AO5" s="8"/>
      <c r="AP5" s="1"/>
      <c r="AQ5" s="6"/>
      <c r="AR5" s="6"/>
      <c r="AS5" s="8"/>
      <c r="AT5" s="2"/>
      <c r="AU5" s="10"/>
      <c r="AV5" s="2" t="s">
        <v>1071</v>
      </c>
    </row>
    <row r="6" spans="1:48" ht="43.5" customHeight="1" x14ac:dyDescent="0.3">
      <c r="A6" s="12"/>
      <c r="B6" s="2"/>
      <c r="C6" s="10"/>
      <c r="D6" s="12"/>
      <c r="E6" s="8"/>
      <c r="F6" s="7"/>
      <c r="G6" s="6"/>
      <c r="H6" s="6"/>
      <c r="I6" s="5"/>
      <c r="J6" s="6"/>
      <c r="K6" s="10"/>
      <c r="L6" s="2"/>
      <c r="M6" s="2"/>
      <c r="N6" s="10"/>
      <c r="O6" s="2" t="s">
        <v>1072</v>
      </c>
      <c r="P6" s="2"/>
      <c r="Q6" s="2"/>
      <c r="R6" s="2"/>
      <c r="S6" s="163"/>
      <c r="T6" s="163"/>
      <c r="U6" s="144" t="s">
        <v>1073</v>
      </c>
      <c r="V6" s="12"/>
      <c r="W6" s="10"/>
      <c r="X6" s="5"/>
      <c r="Y6" s="2"/>
      <c r="Z6" s="5"/>
      <c r="AA6" s="12"/>
      <c r="AB6" s="10"/>
      <c r="AC6" s="12"/>
      <c r="AD6" s="2"/>
      <c r="AE6" s="5"/>
      <c r="AF6" s="6"/>
      <c r="AG6" s="6"/>
      <c r="AH6" s="7"/>
      <c r="AI6" s="6"/>
      <c r="AJ6" s="7"/>
      <c r="AK6" s="6"/>
      <c r="AL6" s="6"/>
      <c r="AM6" s="7"/>
      <c r="AN6" s="6"/>
      <c r="AO6" s="8"/>
      <c r="AP6" s="1"/>
      <c r="AQ6" s="6"/>
      <c r="AR6" s="6"/>
      <c r="AS6" s="8"/>
      <c r="AT6" s="2"/>
      <c r="AU6" s="10"/>
      <c r="AV6" s="2"/>
    </row>
  </sheetData>
  <mergeCells count="69">
    <mergeCell ref="AV5:AV6"/>
    <mergeCell ref="O6:P6"/>
    <mergeCell ref="AS3:AS6"/>
    <mergeCell ref="AT3:AT6"/>
    <mergeCell ref="AU3:AU6"/>
    <mergeCell ref="O4:P4"/>
    <mergeCell ref="B5:B6"/>
    <mergeCell ref="D5:D6"/>
    <mergeCell ref="L5:M6"/>
    <mergeCell ref="O5:P5"/>
    <mergeCell ref="Q5:R6"/>
    <mergeCell ref="S5:T6"/>
    <mergeCell ref="V5:V6"/>
    <mergeCell ref="X5:X6"/>
    <mergeCell ref="AA5:AA6"/>
    <mergeCell ref="AB5:AB6"/>
    <mergeCell ref="AD5:AD6"/>
    <mergeCell ref="AN3:AN6"/>
    <mergeCell ref="AO3:AO6"/>
    <mergeCell ref="AP3:AP6"/>
    <mergeCell ref="AQ3:AQ6"/>
    <mergeCell ref="AR3:AR6"/>
    <mergeCell ref="AI3:AI6"/>
    <mergeCell ref="AJ3:AJ6"/>
    <mergeCell ref="AK3:AK6"/>
    <mergeCell ref="AL3:AL6"/>
    <mergeCell ref="AM3:AM6"/>
    <mergeCell ref="AC3:AC6"/>
    <mergeCell ref="AE3:AE6"/>
    <mergeCell ref="AF3:AF6"/>
    <mergeCell ref="AG3:AG6"/>
    <mergeCell ref="AH3:AH6"/>
    <mergeCell ref="V3:V4"/>
    <mergeCell ref="W3:W6"/>
    <mergeCell ref="Y3:Y6"/>
    <mergeCell ref="Z3:Z6"/>
    <mergeCell ref="AA3:AB4"/>
    <mergeCell ref="K3:K6"/>
    <mergeCell ref="N3:N6"/>
    <mergeCell ref="O3:P3"/>
    <mergeCell ref="Q3:R4"/>
    <mergeCell ref="S3:T4"/>
    <mergeCell ref="F3:F6"/>
    <mergeCell ref="G3:G6"/>
    <mergeCell ref="H3:H6"/>
    <mergeCell ref="I3:I6"/>
    <mergeCell ref="J3:J6"/>
    <mergeCell ref="A3:A6"/>
    <mergeCell ref="B3:B4"/>
    <mergeCell ref="C3:C6"/>
    <mergeCell ref="D3:D4"/>
    <mergeCell ref="E3:E6"/>
    <mergeCell ref="AT1:AU1"/>
    <mergeCell ref="D2:E2"/>
    <mergeCell ref="O2:P2"/>
    <mergeCell ref="Q2:R2"/>
    <mergeCell ref="S2:T2"/>
    <mergeCell ref="V2:W2"/>
    <mergeCell ref="AA2:AB2"/>
    <mergeCell ref="V1:AB1"/>
    <mergeCell ref="AC1:AF1"/>
    <mergeCell ref="AG1:AK1"/>
    <mergeCell ref="AL1:AO1"/>
    <mergeCell ref="AP1:AS1"/>
    <mergeCell ref="A1:C1"/>
    <mergeCell ref="D1:G1"/>
    <mergeCell ref="H1:K1"/>
    <mergeCell ref="L1:N1"/>
    <mergeCell ref="O1:U1"/>
  </mergeCells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49"/>
  <sheetViews>
    <sheetView zoomScaleNormal="100" workbookViewId="0">
      <selection activeCell="B9" sqref="B9"/>
    </sheetView>
  </sheetViews>
  <sheetFormatPr baseColWidth="10" defaultColWidth="8.5546875" defaultRowHeight="14.4" x14ac:dyDescent="0.3"/>
  <cols>
    <col min="1" max="1" width="34" customWidth="1"/>
    <col min="2" max="2" width="70" customWidth="1"/>
    <col min="3" max="3" width="46" customWidth="1"/>
  </cols>
  <sheetData>
    <row r="1" spans="1:3" ht="24" customHeight="1" x14ac:dyDescent="0.3">
      <c r="A1" s="188" t="s">
        <v>823</v>
      </c>
      <c r="B1" s="188"/>
      <c r="C1" s="188"/>
    </row>
    <row r="2" spans="1:3" x14ac:dyDescent="0.3">
      <c r="A2" s="189" t="s">
        <v>1074</v>
      </c>
      <c r="B2" s="189"/>
      <c r="C2" s="189"/>
    </row>
    <row r="3" spans="1:3" ht="19.5" customHeight="1" x14ac:dyDescent="0.3">
      <c r="A3" s="145" t="s">
        <v>825</v>
      </c>
      <c r="B3" s="146"/>
      <c r="C3" s="146"/>
    </row>
    <row r="4" spans="1:3" x14ac:dyDescent="0.3">
      <c r="A4" s="147" t="s">
        <v>826</v>
      </c>
      <c r="B4" s="148" t="s">
        <v>1216</v>
      </c>
      <c r="C4" s="149" t="s">
        <v>1075</v>
      </c>
    </row>
    <row r="5" spans="1:3" ht="27.6" x14ac:dyDescent="0.3">
      <c r="A5" s="147" t="s">
        <v>828</v>
      </c>
      <c r="B5" s="148" t="s">
        <v>1076</v>
      </c>
      <c r="C5" s="149"/>
    </row>
    <row r="6" spans="1:3" x14ac:dyDescent="0.3">
      <c r="A6" s="147" t="s">
        <v>830</v>
      </c>
      <c r="B6" s="148" t="s">
        <v>1077</v>
      </c>
      <c r="C6" s="149"/>
    </row>
    <row r="7" spans="1:3" x14ac:dyDescent="0.3">
      <c r="A7" s="147" t="s">
        <v>832</v>
      </c>
      <c r="B7" s="148" t="s">
        <v>1217</v>
      </c>
      <c r="C7" s="149"/>
    </row>
    <row r="8" spans="1:3" ht="19.5" customHeight="1" x14ac:dyDescent="0.3">
      <c r="A8" s="145" t="s">
        <v>834</v>
      </c>
      <c r="B8" s="146"/>
      <c r="C8" s="146"/>
    </row>
    <row r="9" spans="1:3" ht="27.6" x14ac:dyDescent="0.3">
      <c r="A9" s="147" t="s">
        <v>835</v>
      </c>
      <c r="B9" s="148" t="s">
        <v>1078</v>
      </c>
      <c r="C9" s="149" t="s">
        <v>1079</v>
      </c>
    </row>
    <row r="10" spans="1:3" ht="27.6" x14ac:dyDescent="0.3">
      <c r="A10" s="147" t="s">
        <v>840</v>
      </c>
      <c r="B10" s="148" t="s">
        <v>1080</v>
      </c>
      <c r="C10" s="149" t="s">
        <v>1081</v>
      </c>
    </row>
    <row r="11" spans="1:3" x14ac:dyDescent="0.3">
      <c r="A11" s="147" t="s">
        <v>150</v>
      </c>
      <c r="B11" s="148" t="s">
        <v>1082</v>
      </c>
      <c r="C11" s="149"/>
    </row>
    <row r="12" spans="1:3" ht="27.6" x14ac:dyDescent="0.3">
      <c r="A12" s="147" t="s">
        <v>847</v>
      </c>
      <c r="B12" s="148" t="s">
        <v>1083</v>
      </c>
      <c r="C12" s="149" t="s">
        <v>1084</v>
      </c>
    </row>
    <row r="13" spans="1:3" ht="22.8" x14ac:dyDescent="0.3">
      <c r="A13" s="147" t="s">
        <v>155</v>
      </c>
      <c r="B13" s="148" t="s">
        <v>1085</v>
      </c>
      <c r="C13" s="149" t="s">
        <v>1086</v>
      </c>
    </row>
    <row r="14" spans="1:3" ht="19.5" customHeight="1" x14ac:dyDescent="0.3">
      <c r="A14" s="145" t="s">
        <v>852</v>
      </c>
      <c r="B14" s="146"/>
      <c r="C14" s="146"/>
    </row>
    <row r="15" spans="1:3" ht="41.4" x14ac:dyDescent="0.3">
      <c r="A15" s="147" t="s">
        <v>853</v>
      </c>
      <c r="B15" s="148" t="s">
        <v>1087</v>
      </c>
      <c r="C15" s="149"/>
    </row>
    <row r="16" spans="1:3" ht="55.2" x14ac:dyDescent="0.3">
      <c r="A16" s="147" t="s">
        <v>858</v>
      </c>
      <c r="B16" s="148" t="s">
        <v>1088</v>
      </c>
      <c r="C16" s="149" t="s">
        <v>1089</v>
      </c>
    </row>
    <row r="17" spans="1:3" ht="27.6" x14ac:dyDescent="0.3">
      <c r="A17" s="147" t="s">
        <v>860</v>
      </c>
      <c r="B17" s="148" t="s">
        <v>1090</v>
      </c>
      <c r="C17" s="149"/>
    </row>
    <row r="18" spans="1:3" x14ac:dyDescent="0.3">
      <c r="A18" s="147" t="s">
        <v>865</v>
      </c>
      <c r="B18" s="148" t="s">
        <v>1091</v>
      </c>
      <c r="C18" s="149" t="s">
        <v>1092</v>
      </c>
    </row>
    <row r="19" spans="1:3" ht="27.6" x14ac:dyDescent="0.3">
      <c r="A19" s="147" t="s">
        <v>867</v>
      </c>
      <c r="B19" s="148" t="s">
        <v>1093</v>
      </c>
      <c r="C19" s="149"/>
    </row>
    <row r="20" spans="1:3" ht="69" x14ac:dyDescent="0.3">
      <c r="A20" s="147" t="s">
        <v>869</v>
      </c>
      <c r="B20" s="148" t="s">
        <v>1094</v>
      </c>
      <c r="C20" s="149"/>
    </row>
    <row r="21" spans="1:3" ht="19.5" customHeight="1" x14ac:dyDescent="0.3">
      <c r="A21" s="145" t="s">
        <v>1095</v>
      </c>
      <c r="B21" s="146"/>
      <c r="C21" s="146"/>
    </row>
    <row r="22" spans="1:3" ht="27.6" x14ac:dyDescent="0.3">
      <c r="A22" s="147" t="s">
        <v>876</v>
      </c>
      <c r="B22" s="148" t="s">
        <v>1096</v>
      </c>
      <c r="C22" s="149" t="s">
        <v>1097</v>
      </c>
    </row>
    <row r="23" spans="1:3" ht="27.6" x14ac:dyDescent="0.3">
      <c r="A23" s="147" t="s">
        <v>880</v>
      </c>
      <c r="B23" s="148" t="s">
        <v>1098</v>
      </c>
      <c r="C23" s="149"/>
    </row>
    <row r="24" spans="1:3" ht="27.6" x14ac:dyDescent="0.3">
      <c r="A24" s="147" t="s">
        <v>883</v>
      </c>
      <c r="B24" s="148" t="s">
        <v>1099</v>
      </c>
      <c r="C24" s="149"/>
    </row>
    <row r="25" spans="1:3" ht="41.4" x14ac:dyDescent="0.3">
      <c r="A25" s="147" t="s">
        <v>892</v>
      </c>
      <c r="B25" s="148" t="s">
        <v>1100</v>
      </c>
      <c r="C25" s="149"/>
    </row>
    <row r="26" spans="1:3" ht="27.6" x14ac:dyDescent="0.3">
      <c r="A26" s="147" t="s">
        <v>898</v>
      </c>
      <c r="B26" s="148" t="s">
        <v>1101</v>
      </c>
      <c r="C26" s="149" t="s">
        <v>1102</v>
      </c>
    </row>
    <row r="27" spans="1:3" ht="19.5" customHeight="1" x14ac:dyDescent="0.3">
      <c r="A27" s="145" t="s">
        <v>901</v>
      </c>
      <c r="B27" s="146"/>
      <c r="C27" s="146"/>
    </row>
    <row r="28" spans="1:3" ht="41.4" x14ac:dyDescent="0.3">
      <c r="A28" s="147" t="s">
        <v>666</v>
      </c>
      <c r="B28" s="148" t="s">
        <v>1103</v>
      </c>
      <c r="C28" s="149"/>
    </row>
    <row r="29" spans="1:3" ht="27.6" x14ac:dyDescent="0.3">
      <c r="A29" s="147" t="s">
        <v>175</v>
      </c>
      <c r="B29" s="148" t="s">
        <v>1104</v>
      </c>
      <c r="C29" s="149"/>
    </row>
    <row r="30" spans="1:3" x14ac:dyDescent="0.3">
      <c r="A30" s="147" t="s">
        <v>179</v>
      </c>
      <c r="B30" s="148" t="s">
        <v>1105</v>
      </c>
      <c r="C30" s="149"/>
    </row>
    <row r="31" spans="1:3" x14ac:dyDescent="0.3">
      <c r="A31" s="147" t="s">
        <v>911</v>
      </c>
      <c r="B31" s="148" t="s">
        <v>1106</v>
      </c>
      <c r="C31" s="149" t="s">
        <v>1107</v>
      </c>
    </row>
    <row r="32" spans="1:3" x14ac:dyDescent="0.3">
      <c r="A32" s="147" t="s">
        <v>915</v>
      </c>
      <c r="B32" s="148" t="s">
        <v>1108</v>
      </c>
      <c r="C32" s="149"/>
    </row>
    <row r="33" spans="1:3" ht="19.5" customHeight="1" x14ac:dyDescent="0.3">
      <c r="A33" s="145" t="s">
        <v>916</v>
      </c>
      <c r="B33" s="146"/>
      <c r="C33" s="146"/>
    </row>
    <row r="34" spans="1:3" x14ac:dyDescent="0.3">
      <c r="A34" s="147" t="s">
        <v>917</v>
      </c>
      <c r="B34" s="148" t="s">
        <v>1109</v>
      </c>
      <c r="C34" s="149" t="s">
        <v>1110</v>
      </c>
    </row>
    <row r="35" spans="1:3" x14ac:dyDescent="0.3">
      <c r="A35" s="147" t="s">
        <v>931</v>
      </c>
      <c r="B35" s="148" t="s">
        <v>1111</v>
      </c>
      <c r="C35" s="149" t="s">
        <v>1112</v>
      </c>
    </row>
    <row r="36" spans="1:3" ht="41.4" x14ac:dyDescent="0.3">
      <c r="A36" s="147" t="s">
        <v>933</v>
      </c>
      <c r="B36" s="148" t="s">
        <v>1113</v>
      </c>
      <c r="C36" s="149"/>
    </row>
    <row r="37" spans="1:3" x14ac:dyDescent="0.3">
      <c r="A37" s="147" t="s">
        <v>935</v>
      </c>
      <c r="B37" s="148" t="s">
        <v>1114</v>
      </c>
      <c r="C37" s="149" t="s">
        <v>1115</v>
      </c>
    </row>
    <row r="38" spans="1:3" ht="27.6" x14ac:dyDescent="0.3">
      <c r="A38" s="147" t="s">
        <v>1116</v>
      </c>
      <c r="B38" s="148" t="s">
        <v>1117</v>
      </c>
      <c r="C38" s="149" t="s">
        <v>1118</v>
      </c>
    </row>
    <row r="39" spans="1:3" ht="19.5" customHeight="1" x14ac:dyDescent="0.3">
      <c r="A39" s="145" t="s">
        <v>947</v>
      </c>
      <c r="B39" s="146"/>
      <c r="C39" s="146"/>
    </row>
    <row r="40" spans="1:3" ht="27.6" x14ac:dyDescent="0.3">
      <c r="A40" s="147" t="s">
        <v>948</v>
      </c>
      <c r="B40" s="148" t="s">
        <v>1119</v>
      </c>
      <c r="C40" s="149" t="s">
        <v>1069</v>
      </c>
    </row>
    <row r="41" spans="1:3" ht="27.6" x14ac:dyDescent="0.3">
      <c r="A41" s="147" t="s">
        <v>949</v>
      </c>
      <c r="B41" s="148" t="s">
        <v>1120</v>
      </c>
      <c r="C41" s="149"/>
    </row>
    <row r="42" spans="1:3" ht="27.6" x14ac:dyDescent="0.3">
      <c r="A42" s="147" t="s">
        <v>950</v>
      </c>
      <c r="B42" s="148" t="s">
        <v>1121</v>
      </c>
      <c r="C42" s="149" t="s">
        <v>1122</v>
      </c>
    </row>
    <row r="43" spans="1:3" ht="19.5" customHeight="1" x14ac:dyDescent="0.3">
      <c r="A43" s="145" t="s">
        <v>952</v>
      </c>
      <c r="B43" s="146"/>
      <c r="C43" s="146"/>
    </row>
    <row r="44" spans="1:3" x14ac:dyDescent="0.3">
      <c r="A44" s="147" t="s">
        <v>953</v>
      </c>
      <c r="B44" s="148" t="s">
        <v>1123</v>
      </c>
      <c r="C44" s="149"/>
    </row>
    <row r="45" spans="1:3" ht="27.6" x14ac:dyDescent="0.3">
      <c r="A45" s="147" t="s">
        <v>1124</v>
      </c>
      <c r="B45" s="148" t="s">
        <v>1125</v>
      </c>
      <c r="C45" s="149"/>
    </row>
    <row r="46" spans="1:3" ht="27.6" x14ac:dyDescent="0.3">
      <c r="A46" s="147" t="s">
        <v>957</v>
      </c>
      <c r="B46" s="148" t="s">
        <v>1126</v>
      </c>
      <c r="C46" s="149"/>
    </row>
    <row r="48" spans="1:3" ht="43.5" customHeight="1" x14ac:dyDescent="0.3">
      <c r="A48" s="190" t="s">
        <v>1127</v>
      </c>
      <c r="B48" s="190"/>
      <c r="C48" s="190"/>
    </row>
    <row r="49" spans="1:3" ht="43.5" customHeight="1" x14ac:dyDescent="0.3">
      <c r="A49" s="190" t="s">
        <v>1128</v>
      </c>
      <c r="B49" s="190"/>
      <c r="C49" s="190"/>
    </row>
  </sheetData>
  <mergeCells count="4">
    <mergeCell ref="A1:C1"/>
    <mergeCell ref="A2:C2"/>
    <mergeCell ref="A48:C48"/>
    <mergeCell ref="A49:C49"/>
  </mergeCell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52"/>
  <sheetViews>
    <sheetView tabSelected="1" zoomScaleNormal="100" workbookViewId="0">
      <selection activeCell="F10" sqref="F10"/>
    </sheetView>
  </sheetViews>
  <sheetFormatPr baseColWidth="10" defaultColWidth="8.5546875" defaultRowHeight="14.4" x14ac:dyDescent="0.3"/>
  <cols>
    <col min="1" max="1" width="7" customWidth="1"/>
    <col min="2" max="3" width="40" customWidth="1"/>
    <col min="4" max="4" width="16" customWidth="1"/>
    <col min="5" max="5" width="10" customWidth="1"/>
    <col min="6" max="6" width="46" customWidth="1"/>
  </cols>
  <sheetData>
    <row r="1" spans="1:12" ht="21.75" customHeight="1" x14ac:dyDescent="0.3">
      <c r="A1" s="191" t="s">
        <v>1129</v>
      </c>
      <c r="B1" s="191"/>
      <c r="C1" s="191"/>
      <c r="D1" s="191"/>
      <c r="E1" s="191"/>
      <c r="F1" s="191"/>
    </row>
    <row r="2" spans="1:12" x14ac:dyDescent="0.3">
      <c r="A2" s="150" t="s">
        <v>1130</v>
      </c>
      <c r="B2" s="192" t="s">
        <v>1131</v>
      </c>
      <c r="C2" s="192"/>
      <c r="D2" s="150" t="s">
        <v>793</v>
      </c>
      <c r="E2" s="151" t="s">
        <v>1132</v>
      </c>
    </row>
    <row r="3" spans="1:12" x14ac:dyDescent="0.3">
      <c r="A3" s="196" t="s">
        <v>1219</v>
      </c>
      <c r="B3" s="196" t="s">
        <v>1220</v>
      </c>
      <c r="C3" s="196" t="s">
        <v>1221</v>
      </c>
      <c r="D3" s="196" t="s">
        <v>1222</v>
      </c>
      <c r="E3" s="197" t="s">
        <v>1223</v>
      </c>
      <c r="F3" s="197"/>
    </row>
    <row r="5" spans="1:12" x14ac:dyDescent="0.3">
      <c r="A5" s="152" t="s">
        <v>412</v>
      </c>
      <c r="B5" s="152" t="s">
        <v>798</v>
      </c>
      <c r="C5" s="152" t="s">
        <v>1133</v>
      </c>
      <c r="D5" s="152" t="s">
        <v>800</v>
      </c>
      <c r="E5" s="152" t="s">
        <v>801</v>
      </c>
      <c r="F5" s="152" t="s">
        <v>802</v>
      </c>
    </row>
    <row r="6" spans="1:12" x14ac:dyDescent="0.3">
      <c r="A6" s="193" t="s">
        <v>1134</v>
      </c>
      <c r="B6" s="193"/>
      <c r="C6" s="193"/>
      <c r="D6" s="193"/>
      <c r="E6" s="193"/>
      <c r="F6" s="193"/>
    </row>
    <row r="7" spans="1:12" ht="26.4" x14ac:dyDescent="0.3">
      <c r="A7" s="153" t="s">
        <v>476</v>
      </c>
      <c r="B7" s="153" t="s">
        <v>155</v>
      </c>
      <c r="C7" s="153" t="s">
        <v>1135</v>
      </c>
      <c r="D7" s="154" t="s">
        <v>794</v>
      </c>
      <c r="E7" s="155">
        <f>IF(D7="erfüllt",2,IF(D7="teilweise",1,IF(D7="nicht erfüllt",0,"")))</f>
        <v>2</v>
      </c>
      <c r="F7" s="156" t="s">
        <v>1136</v>
      </c>
      <c r="H7" t="s">
        <v>800</v>
      </c>
      <c r="I7" t="s">
        <v>794</v>
      </c>
      <c r="J7" t="s">
        <v>796</v>
      </c>
      <c r="K7" t="s">
        <v>797</v>
      </c>
      <c r="L7" t="s">
        <v>1218</v>
      </c>
    </row>
    <row r="8" spans="1:12" x14ac:dyDescent="0.3">
      <c r="A8" s="153" t="s">
        <v>483</v>
      </c>
      <c r="B8" s="153" t="s">
        <v>1137</v>
      </c>
      <c r="C8" s="153" t="s">
        <v>1138</v>
      </c>
      <c r="D8" s="154" t="s">
        <v>794</v>
      </c>
      <c r="E8" s="155">
        <f>IF(D8="erfüllt",2,IF(D8="teilweise",1,IF(D8="nicht erfüllt",0,"")))</f>
        <v>2</v>
      </c>
      <c r="F8" s="156" t="s">
        <v>1139</v>
      </c>
    </row>
    <row r="9" spans="1:12" x14ac:dyDescent="0.3">
      <c r="A9" s="153" t="s">
        <v>487</v>
      </c>
      <c r="B9" s="153" t="s">
        <v>150</v>
      </c>
      <c r="C9" s="153" t="s">
        <v>1140</v>
      </c>
      <c r="D9" s="154" t="s">
        <v>794</v>
      </c>
      <c r="E9" s="155">
        <f>IF(D9="erfüllt",2,IF(D9="teilweise",1,IF(D9="nicht erfüllt",0,"")))</f>
        <v>2</v>
      </c>
      <c r="F9" s="156" t="s">
        <v>1141</v>
      </c>
    </row>
    <row r="10" spans="1:12" x14ac:dyDescent="0.3">
      <c r="A10" s="153" t="s">
        <v>494</v>
      </c>
      <c r="B10" s="153" t="s">
        <v>133</v>
      </c>
      <c r="C10" s="153" t="s">
        <v>1142</v>
      </c>
      <c r="D10" s="154" t="s">
        <v>794</v>
      </c>
      <c r="E10" s="155">
        <f>IF(D10="erfüllt",2,IF(D10="teilweise",1,IF(D10="nicht erfüllt",0,"")))</f>
        <v>2</v>
      </c>
      <c r="F10" s="156" t="s">
        <v>1143</v>
      </c>
    </row>
    <row r="11" spans="1:12" x14ac:dyDescent="0.3">
      <c r="A11" s="157"/>
      <c r="B11" s="158" t="s">
        <v>1144</v>
      </c>
      <c r="C11" s="159" t="s">
        <v>1145</v>
      </c>
      <c r="D11" s="157"/>
      <c r="E11" s="160">
        <f>IF(SUM(SUMPRODUCT(--ISNUMBER(E7:E10)))=0,"–",SUM(E7:E10)/(2*SUMPRODUCT(--ISNUMBER(E7:E10))))</f>
        <v>1</v>
      </c>
      <c r="F11" s="157"/>
    </row>
    <row r="12" spans="1:12" x14ac:dyDescent="0.3">
      <c r="A12" s="193" t="s">
        <v>1146</v>
      </c>
      <c r="B12" s="193"/>
      <c r="C12" s="193"/>
      <c r="D12" s="193"/>
      <c r="E12" s="193"/>
      <c r="F12" s="193"/>
    </row>
    <row r="13" spans="1:12" x14ac:dyDescent="0.3">
      <c r="A13" s="153" t="s">
        <v>810</v>
      </c>
      <c r="B13" s="153" t="s">
        <v>811</v>
      </c>
      <c r="C13" s="153" t="s">
        <v>1147</v>
      </c>
      <c r="D13" s="154" t="s">
        <v>794</v>
      </c>
      <c r="E13" s="155">
        <f t="shared" ref="E13:E25" si="0">IF(D13="erfüllt",2,IF(D13="teilweise",1,IF(D13="nicht erfüllt",0,"")))</f>
        <v>2</v>
      </c>
      <c r="F13" s="156" t="s">
        <v>1148</v>
      </c>
    </row>
    <row r="14" spans="1:12" x14ac:dyDescent="0.3">
      <c r="A14" s="153" t="s">
        <v>813</v>
      </c>
      <c r="B14" s="153" t="s">
        <v>814</v>
      </c>
      <c r="C14" s="153" t="s">
        <v>1149</v>
      </c>
      <c r="D14" s="154" t="s">
        <v>794</v>
      </c>
      <c r="E14" s="155">
        <f t="shared" si="0"/>
        <v>2</v>
      </c>
      <c r="F14" s="156" t="s">
        <v>1150</v>
      </c>
    </row>
    <row r="15" spans="1:12" x14ac:dyDescent="0.3">
      <c r="A15" s="153" t="s">
        <v>565</v>
      </c>
      <c r="B15" s="153" t="s">
        <v>1151</v>
      </c>
      <c r="C15" s="153" t="s">
        <v>1152</v>
      </c>
      <c r="D15" s="154" t="s">
        <v>794</v>
      </c>
      <c r="E15" s="155">
        <f t="shared" si="0"/>
        <v>2</v>
      </c>
      <c r="F15" s="156" t="s">
        <v>1153</v>
      </c>
    </row>
    <row r="16" spans="1:12" x14ac:dyDescent="0.3">
      <c r="A16" s="153" t="s">
        <v>656</v>
      </c>
      <c r="B16" s="153" t="s">
        <v>1154</v>
      </c>
      <c r="C16" s="153" t="s">
        <v>1155</v>
      </c>
      <c r="D16" s="154" t="s">
        <v>794</v>
      </c>
      <c r="E16" s="155">
        <f t="shared" si="0"/>
        <v>2</v>
      </c>
      <c r="F16" s="156" t="s">
        <v>1156</v>
      </c>
    </row>
    <row r="17" spans="1:6" x14ac:dyDescent="0.3">
      <c r="A17" s="153" t="s">
        <v>660</v>
      </c>
      <c r="B17" s="153" t="s">
        <v>661</v>
      </c>
      <c r="C17" s="153" t="s">
        <v>1157</v>
      </c>
      <c r="D17" s="154" t="s">
        <v>794</v>
      </c>
      <c r="E17" s="155">
        <f t="shared" si="0"/>
        <v>2</v>
      </c>
      <c r="F17" s="156" t="s">
        <v>1158</v>
      </c>
    </row>
    <row r="18" spans="1:6" x14ac:dyDescent="0.3">
      <c r="A18" s="153" t="s">
        <v>665</v>
      </c>
      <c r="B18" s="153" t="s">
        <v>666</v>
      </c>
      <c r="C18" s="153" t="s">
        <v>1159</v>
      </c>
      <c r="D18" s="154" t="s">
        <v>794</v>
      </c>
      <c r="E18" s="155">
        <f t="shared" si="0"/>
        <v>2</v>
      </c>
      <c r="F18" s="156" t="s">
        <v>1160</v>
      </c>
    </row>
    <row r="19" spans="1:6" x14ac:dyDescent="0.3">
      <c r="A19" s="153" t="s">
        <v>678</v>
      </c>
      <c r="B19" s="153" t="s">
        <v>679</v>
      </c>
      <c r="C19" s="153" t="s">
        <v>1161</v>
      </c>
      <c r="D19" s="154" t="s">
        <v>794</v>
      </c>
      <c r="E19" s="155">
        <f t="shared" si="0"/>
        <v>2</v>
      </c>
      <c r="F19" s="156" t="s">
        <v>1162</v>
      </c>
    </row>
    <row r="20" spans="1:6" x14ac:dyDescent="0.3">
      <c r="A20" s="153" t="s">
        <v>683</v>
      </c>
      <c r="B20" s="153" t="s">
        <v>684</v>
      </c>
      <c r="C20" s="153" t="s">
        <v>1163</v>
      </c>
      <c r="D20" s="154" t="s">
        <v>794</v>
      </c>
      <c r="E20" s="155">
        <f t="shared" si="0"/>
        <v>2</v>
      </c>
      <c r="F20" s="156"/>
    </row>
    <row r="21" spans="1:6" x14ac:dyDescent="0.3">
      <c r="A21" s="153" t="s">
        <v>688</v>
      </c>
      <c r="B21" s="153" t="s">
        <v>1164</v>
      </c>
      <c r="C21" s="153" t="s">
        <v>1165</v>
      </c>
      <c r="D21" s="154" t="s">
        <v>794</v>
      </c>
      <c r="E21" s="155">
        <f t="shared" si="0"/>
        <v>2</v>
      </c>
      <c r="F21" s="156"/>
    </row>
    <row r="22" spans="1:6" ht="26.4" x14ac:dyDescent="0.3">
      <c r="A22" s="153" t="s">
        <v>693</v>
      </c>
      <c r="B22" s="153" t="s">
        <v>694</v>
      </c>
      <c r="C22" s="153" t="s">
        <v>1166</v>
      </c>
      <c r="D22" s="154" t="s">
        <v>796</v>
      </c>
      <c r="E22" s="155">
        <f t="shared" si="0"/>
        <v>1</v>
      </c>
      <c r="F22" s="156" t="s">
        <v>1167</v>
      </c>
    </row>
    <row r="23" spans="1:6" x14ac:dyDescent="0.3">
      <c r="A23" s="153" t="s">
        <v>701</v>
      </c>
      <c r="B23" s="153" t="s">
        <v>196</v>
      </c>
      <c r="C23" s="153" t="s">
        <v>1168</v>
      </c>
      <c r="D23" s="154" t="s">
        <v>794</v>
      </c>
      <c r="E23" s="155">
        <f t="shared" si="0"/>
        <v>2</v>
      </c>
      <c r="F23" s="156" t="s">
        <v>1169</v>
      </c>
    </row>
    <row r="24" spans="1:6" ht="26.4" x14ac:dyDescent="0.3">
      <c r="A24" s="153" t="s">
        <v>705</v>
      </c>
      <c r="B24" s="153" t="s">
        <v>202</v>
      </c>
      <c r="C24" s="153" t="s">
        <v>1170</v>
      </c>
      <c r="D24" s="154" t="s">
        <v>794</v>
      </c>
      <c r="E24" s="155">
        <f t="shared" si="0"/>
        <v>2</v>
      </c>
      <c r="F24" s="156"/>
    </row>
    <row r="25" spans="1:6" x14ac:dyDescent="0.3">
      <c r="A25" s="153" t="s">
        <v>713</v>
      </c>
      <c r="B25" s="153" t="s">
        <v>714</v>
      </c>
      <c r="C25" s="153" t="s">
        <v>1171</v>
      </c>
      <c r="D25" s="154" t="s">
        <v>796</v>
      </c>
      <c r="E25" s="155">
        <f t="shared" si="0"/>
        <v>1</v>
      </c>
      <c r="F25" s="156" t="s">
        <v>1172</v>
      </c>
    </row>
    <row r="26" spans="1:6" x14ac:dyDescent="0.3">
      <c r="A26" s="157"/>
      <c r="B26" s="158" t="s">
        <v>1173</v>
      </c>
      <c r="C26" s="159" t="s">
        <v>1145</v>
      </c>
      <c r="D26" s="157"/>
      <c r="E26" s="160">
        <f>IF(SUM(SUMPRODUCT(--ISNUMBER(E13:E25)))=0,"–",SUM(E13:E25)/(2*SUMPRODUCT(--ISNUMBER(E13:E25))))</f>
        <v>0.92307692307692313</v>
      </c>
      <c r="F26" s="157"/>
    </row>
    <row r="27" spans="1:6" x14ac:dyDescent="0.3">
      <c r="A27" s="193" t="s">
        <v>1174</v>
      </c>
      <c r="B27" s="193"/>
      <c r="C27" s="193"/>
      <c r="D27" s="193"/>
      <c r="E27" s="193"/>
      <c r="F27" s="193"/>
    </row>
    <row r="28" spans="1:6" x14ac:dyDescent="0.3">
      <c r="A28" s="153" t="s">
        <v>502</v>
      </c>
      <c r="B28" s="153" t="s">
        <v>1175</v>
      </c>
      <c r="C28" s="153" t="s">
        <v>1176</v>
      </c>
      <c r="D28" s="154" t="s">
        <v>796</v>
      </c>
      <c r="E28" s="155">
        <f t="shared" ref="E28:E35" si="1">IF(D28="erfüllt",2,IF(D28="teilweise",1,IF(D28="nicht erfüllt",0,"")))</f>
        <v>1</v>
      </c>
      <c r="F28" s="156" t="s">
        <v>1177</v>
      </c>
    </row>
    <row r="29" spans="1:6" x14ac:dyDescent="0.3">
      <c r="A29" s="153" t="s">
        <v>525</v>
      </c>
      <c r="B29" s="153" t="s">
        <v>223</v>
      </c>
      <c r="C29" s="153" t="s">
        <v>1178</v>
      </c>
      <c r="D29" s="154" t="s">
        <v>794</v>
      </c>
      <c r="E29" s="155">
        <f t="shared" si="1"/>
        <v>2</v>
      </c>
      <c r="F29" s="156"/>
    </row>
    <row r="30" spans="1:6" x14ac:dyDescent="0.3">
      <c r="A30" s="153" t="s">
        <v>532</v>
      </c>
      <c r="B30" s="153" t="s">
        <v>228</v>
      </c>
      <c r="C30" s="153" t="s">
        <v>1179</v>
      </c>
      <c r="D30" s="154" t="s">
        <v>794</v>
      </c>
      <c r="E30" s="155">
        <f t="shared" si="1"/>
        <v>2</v>
      </c>
      <c r="F30" s="156" t="s">
        <v>1180</v>
      </c>
    </row>
    <row r="31" spans="1:6" x14ac:dyDescent="0.3">
      <c r="A31" s="153" t="s">
        <v>553</v>
      </c>
      <c r="B31" s="153" t="s">
        <v>554</v>
      </c>
      <c r="C31" s="153" t="s">
        <v>1181</v>
      </c>
      <c r="D31" s="154" t="s">
        <v>794</v>
      </c>
      <c r="E31" s="155">
        <f t="shared" si="1"/>
        <v>2</v>
      </c>
      <c r="F31" s="156" t="s">
        <v>1182</v>
      </c>
    </row>
    <row r="32" spans="1:6" ht="26.4" x14ac:dyDescent="0.3">
      <c r="A32" s="153" t="s">
        <v>580</v>
      </c>
      <c r="B32" s="153" t="s">
        <v>239</v>
      </c>
      <c r="C32" s="153" t="s">
        <v>1183</v>
      </c>
      <c r="D32" s="154" t="s">
        <v>794</v>
      </c>
      <c r="E32" s="155">
        <f t="shared" si="1"/>
        <v>2</v>
      </c>
      <c r="F32" s="156" t="s">
        <v>1184</v>
      </c>
    </row>
    <row r="33" spans="1:6" ht="26.4" x14ac:dyDescent="0.3">
      <c r="A33" s="153" t="s">
        <v>611</v>
      </c>
      <c r="B33" s="153" t="s">
        <v>250</v>
      </c>
      <c r="C33" s="153" t="s">
        <v>1185</v>
      </c>
      <c r="D33" s="154" t="s">
        <v>794</v>
      </c>
      <c r="E33" s="155">
        <f t="shared" si="1"/>
        <v>2</v>
      </c>
      <c r="F33" s="156"/>
    </row>
    <row r="34" spans="1:6" ht="26.4" x14ac:dyDescent="0.3">
      <c r="A34" s="153" t="s">
        <v>634</v>
      </c>
      <c r="B34" s="153" t="s">
        <v>635</v>
      </c>
      <c r="C34" s="153" t="s">
        <v>1186</v>
      </c>
      <c r="D34" s="154" t="s">
        <v>794</v>
      </c>
      <c r="E34" s="155">
        <f t="shared" si="1"/>
        <v>2</v>
      </c>
      <c r="F34" s="156"/>
    </row>
    <row r="35" spans="1:6" ht="26.4" x14ac:dyDescent="0.3">
      <c r="A35" s="153" t="s">
        <v>642</v>
      </c>
      <c r="B35" s="153" t="s">
        <v>262</v>
      </c>
      <c r="C35" s="153" t="s">
        <v>1187</v>
      </c>
      <c r="D35" s="154" t="s">
        <v>796</v>
      </c>
      <c r="E35" s="155">
        <f t="shared" si="1"/>
        <v>1</v>
      </c>
      <c r="F35" s="156" t="s">
        <v>1188</v>
      </c>
    </row>
    <row r="36" spans="1:6" x14ac:dyDescent="0.3">
      <c r="A36" s="157"/>
      <c r="B36" s="158" t="s">
        <v>1189</v>
      </c>
      <c r="C36" s="159" t="s">
        <v>1145</v>
      </c>
      <c r="D36" s="157"/>
      <c r="E36" s="160">
        <f>IF(SUM(SUMPRODUCT(--ISNUMBER(E28:E35)))=0,"–",SUM(E28:E35)/(2*SUMPRODUCT(--ISNUMBER(E28:E35))))</f>
        <v>0.875</v>
      </c>
      <c r="F36" s="157"/>
    </row>
    <row r="37" spans="1:6" x14ac:dyDescent="0.3">
      <c r="A37" s="193" t="s">
        <v>1190</v>
      </c>
      <c r="B37" s="193"/>
      <c r="C37" s="193"/>
      <c r="D37" s="193"/>
      <c r="E37" s="193"/>
      <c r="F37" s="193"/>
    </row>
    <row r="38" spans="1:6" x14ac:dyDescent="0.3">
      <c r="A38" s="153" t="s">
        <v>446</v>
      </c>
      <c r="B38" s="153" t="s">
        <v>268</v>
      </c>
      <c r="C38" s="153" t="s">
        <v>1191</v>
      </c>
      <c r="D38" s="154" t="s">
        <v>794</v>
      </c>
      <c r="E38" s="155">
        <f t="shared" ref="E38:E46" si="2">IF(D38="erfüllt",2,IF(D38="teilweise",1,IF(D38="nicht erfüllt",0,"")))</f>
        <v>2</v>
      </c>
      <c r="F38" s="156" t="s">
        <v>1192</v>
      </c>
    </row>
    <row r="39" spans="1:6" x14ac:dyDescent="0.3">
      <c r="A39" s="153" t="s">
        <v>457</v>
      </c>
      <c r="B39" s="153" t="s">
        <v>273</v>
      </c>
      <c r="C39" s="153" t="s">
        <v>1193</v>
      </c>
      <c r="D39" s="154" t="s">
        <v>796</v>
      </c>
      <c r="E39" s="155">
        <f t="shared" si="2"/>
        <v>1</v>
      </c>
      <c r="F39" s="156" t="s">
        <v>1194</v>
      </c>
    </row>
    <row r="40" spans="1:6" x14ac:dyDescent="0.3">
      <c r="A40" s="153" t="s">
        <v>460</v>
      </c>
      <c r="B40" s="153" t="s">
        <v>278</v>
      </c>
      <c r="C40" s="153" t="s">
        <v>1195</v>
      </c>
      <c r="D40" s="154" t="s">
        <v>796</v>
      </c>
      <c r="E40" s="155">
        <f t="shared" si="2"/>
        <v>1</v>
      </c>
      <c r="F40" s="156" t="s">
        <v>1196</v>
      </c>
    </row>
    <row r="41" spans="1:6" x14ac:dyDescent="0.3">
      <c r="A41" s="153" t="s">
        <v>466</v>
      </c>
      <c r="B41" s="153" t="s">
        <v>467</v>
      </c>
      <c r="C41" s="153" t="s">
        <v>1197</v>
      </c>
      <c r="D41" s="154" t="s">
        <v>794</v>
      </c>
      <c r="E41" s="155">
        <f t="shared" si="2"/>
        <v>2</v>
      </c>
      <c r="F41" s="156"/>
    </row>
    <row r="42" spans="1:6" x14ac:dyDescent="0.3">
      <c r="A42" s="153" t="s">
        <v>469</v>
      </c>
      <c r="B42" s="153" t="s">
        <v>286</v>
      </c>
      <c r="C42" s="153" t="s">
        <v>1198</v>
      </c>
      <c r="D42" s="154" t="s">
        <v>794</v>
      </c>
      <c r="E42" s="155">
        <f t="shared" si="2"/>
        <v>2</v>
      </c>
      <c r="F42" s="156" t="s">
        <v>1199</v>
      </c>
    </row>
    <row r="43" spans="1:6" x14ac:dyDescent="0.3">
      <c r="A43" s="153" t="s">
        <v>724</v>
      </c>
      <c r="B43" s="153" t="s">
        <v>1200</v>
      </c>
      <c r="C43" s="153" t="s">
        <v>1201</v>
      </c>
      <c r="D43" s="154" t="s">
        <v>794</v>
      </c>
      <c r="E43" s="155">
        <f t="shared" si="2"/>
        <v>2</v>
      </c>
      <c r="F43" s="156" t="s">
        <v>1202</v>
      </c>
    </row>
    <row r="44" spans="1:6" x14ac:dyDescent="0.3">
      <c r="A44" s="153" t="s">
        <v>727</v>
      </c>
      <c r="B44" s="153" t="s">
        <v>1203</v>
      </c>
      <c r="C44" s="153" t="s">
        <v>1204</v>
      </c>
      <c r="D44" s="154" t="s">
        <v>794</v>
      </c>
      <c r="E44" s="155">
        <f t="shared" si="2"/>
        <v>2</v>
      </c>
      <c r="F44" s="156"/>
    </row>
    <row r="45" spans="1:6" ht="26.4" x14ac:dyDescent="0.3">
      <c r="A45" s="153" t="s">
        <v>730</v>
      </c>
      <c r="B45" s="153" t="s">
        <v>1205</v>
      </c>
      <c r="C45" s="153" t="s">
        <v>1206</v>
      </c>
      <c r="D45" s="154" t="s">
        <v>794</v>
      </c>
      <c r="E45" s="155">
        <f t="shared" si="2"/>
        <v>2</v>
      </c>
      <c r="F45" s="156"/>
    </row>
    <row r="46" spans="1:6" ht="26.4" x14ac:dyDescent="0.3">
      <c r="A46" s="153" t="s">
        <v>733</v>
      </c>
      <c r="B46" s="153" t="s">
        <v>1207</v>
      </c>
      <c r="C46" s="153" t="s">
        <v>1208</v>
      </c>
      <c r="D46" s="154" t="s">
        <v>796</v>
      </c>
      <c r="E46" s="155">
        <f t="shared" si="2"/>
        <v>1</v>
      </c>
      <c r="F46" s="156" t="s">
        <v>1209</v>
      </c>
    </row>
    <row r="47" spans="1:6" ht="26.4" x14ac:dyDescent="0.3">
      <c r="A47" s="153" t="s">
        <v>759</v>
      </c>
      <c r="B47" s="153" t="s">
        <v>760</v>
      </c>
      <c r="C47" s="153" t="s">
        <v>1210</v>
      </c>
      <c r="D47" s="154" t="s">
        <v>1218</v>
      </c>
      <c r="E47" s="155" t="s">
        <v>1211</v>
      </c>
      <c r="F47" s="156" t="s">
        <v>1212</v>
      </c>
    </row>
    <row r="48" spans="1:6" x14ac:dyDescent="0.3">
      <c r="A48" s="153" t="s">
        <v>763</v>
      </c>
      <c r="B48" s="153" t="s">
        <v>764</v>
      </c>
      <c r="C48" s="153" t="s">
        <v>1213</v>
      </c>
      <c r="D48" s="154" t="s">
        <v>1218</v>
      </c>
      <c r="E48" s="155" t="s">
        <v>1211</v>
      </c>
      <c r="F48" s="156" t="s">
        <v>1212</v>
      </c>
    </row>
    <row r="49" spans="1:6" x14ac:dyDescent="0.3">
      <c r="A49" s="157"/>
      <c r="B49" s="158" t="s">
        <v>1214</v>
      </c>
      <c r="C49" s="159" t="s">
        <v>1145</v>
      </c>
      <c r="D49" s="157"/>
      <c r="E49" s="160">
        <f>IF(SUM(SUMPRODUCT(--ISNUMBER(E38:E48)))=0,"–",SUM(E38:E48)/(2*SUMPRODUCT(--ISNUMBER(E38:E48))))</f>
        <v>0.83333333333333337</v>
      </c>
      <c r="F49" s="157"/>
    </row>
    <row r="51" spans="1:6" ht="15.6" x14ac:dyDescent="0.3">
      <c r="A51" s="194" t="s">
        <v>821</v>
      </c>
      <c r="B51" s="194"/>
      <c r="C51" s="194"/>
      <c r="D51" s="194"/>
      <c r="E51" s="161">
        <f>(IF(ISNUMBER(E7),E7,0)+IF(ISNUMBER(E8),E8,0)+IF(ISNUMBER(E9),E9,0)+IF(ISNUMBER(E10),E10,0)+IF(ISNUMBER(E13),E13,0)+IF(ISNUMBER(E14),E14,0)+IF(ISNUMBER(E15),E15,0)+IF(ISNUMBER(E16),E16,0)+IF(ISNUMBER(E17),E17,0)+IF(ISNUMBER(E18),E18,0)+IF(ISNUMBER(E19),E19,0)+IF(ISNUMBER(E20),E20,0)+IF(ISNUMBER(E21),E21,0)+IF(ISNUMBER(E22),E22,0)+IF(ISNUMBER(E23),E23,0)+IF(ISNUMBER(E24),E24,0)+IF(ISNUMBER(E25),E25,0)+IF(ISNUMBER(E28),E28,0)+IF(ISNUMBER(E29),E29,0)+IF(ISNUMBER(E30),E30,0)+IF(ISNUMBER(E31),E31,0)+IF(ISNUMBER(E32),E32,0)+IF(ISNUMBER(E33),E33,0)+IF(ISNUMBER(E34),E34,0)+IF(ISNUMBER(E35),E35,0)+IF(ISNUMBER(E38),E38,0)+IF(ISNUMBER(E39),E39,0)+IF(ISNUMBER(E40),E40,0)+IF(ISNUMBER(E41),E41,0)+IF(ISNUMBER(E42),E42,0)+IF(ISNUMBER(E43),E43,0)+IF(ISNUMBER(E44),E44,0)+IF(ISNUMBER(E45),E45,0)+IF(ISNUMBER(E46),E46,0)+IF(ISNUMBER(E47),E47,0)+IF(ISNUMBER(E48),E48,0))/(2*(IF(ISNUMBER(E7),1,0)+IF(ISNUMBER(E8),1,0)+IF(ISNUMBER(E9),1,0)+IF(ISNUMBER(E10),1,0)+IF(ISNUMBER(E13),1,0)+IF(ISNUMBER(E14),1,0)+IF(ISNUMBER(E15),1,0)+IF(ISNUMBER(E16),1,0)+IF(ISNUMBER(E17),1,0)+IF(ISNUMBER(E18),1,0)+IF(ISNUMBER(E19),1,0)+IF(ISNUMBER(E20),1,0)+IF(ISNUMBER(E21),1,0)+IF(ISNUMBER(E22),1,0)+IF(ISNUMBER(E23),1,0)+IF(ISNUMBER(E24),1,0)+IF(ISNUMBER(E25),1,0)+IF(ISNUMBER(E28),1,0)+IF(ISNUMBER(E29),1,0)+IF(ISNUMBER(E30),1,0)+IF(ISNUMBER(E31),1,0)+IF(ISNUMBER(E32),1,0)+IF(ISNUMBER(E33),1,0)+IF(ISNUMBER(E34),1,0)+IF(ISNUMBER(E35),1,0)+IF(ISNUMBER(E38),1,0)+IF(ISNUMBER(E39),1,0)+IF(ISNUMBER(E40),1,0)+IF(ISNUMBER(E41),1,0)+IF(ISNUMBER(E42),1,0)+IF(ISNUMBER(E43),1,0)+IF(ISNUMBER(E44),1,0)+IF(ISNUMBER(E45),1,0)+IF(ISNUMBER(E46),1,0)+IF(ISNUMBER(E47),1,0)+IF(ISNUMBER(E48),1,0)))</f>
        <v>0.8970588235294118</v>
      </c>
      <c r="F51" s="162"/>
    </row>
    <row r="52" spans="1:6" ht="15" customHeight="1" x14ac:dyDescent="0.3">
      <c r="A52" s="195" t="s">
        <v>1215</v>
      </c>
      <c r="B52" s="195"/>
      <c r="C52" s="195"/>
      <c r="D52" s="195"/>
      <c r="E52" s="195"/>
      <c r="F52" s="195"/>
    </row>
  </sheetData>
  <mergeCells count="9">
    <mergeCell ref="A27:F27"/>
    <mergeCell ref="A37:F37"/>
    <mergeCell ref="A51:D51"/>
    <mergeCell ref="A52:F52"/>
    <mergeCell ref="E3:F3"/>
    <mergeCell ref="A1:F1"/>
    <mergeCell ref="B2:C2"/>
    <mergeCell ref="A6:F6"/>
    <mergeCell ref="A12:F12"/>
  </mergeCells>
  <dataValidations count="2">
    <dataValidation type="list" allowBlank="1" showInputMessage="1" showErrorMessage="1" sqref="D38:D48 D13:D25 D28:D35 D8:D10" xr:uid="{9EC85466-A6A8-4A49-9154-69EC743F0C51}">
      <formula1>$H$7:$L$7</formula1>
    </dataValidation>
    <dataValidation type="list" allowBlank="1" showInputMessage="1" showErrorMessage="1" sqref="D7" xr:uid="{468E02CC-DB04-4A1A-AF89-B42C03EB6C3B}">
      <formula1>$H$7:$L$7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21</vt:i4>
      </vt:variant>
      <vt:variant>
        <vt:lpstr>Benannte Bereiche</vt:lpstr>
      </vt:variant>
      <vt:variant>
        <vt:i4>1</vt:i4>
      </vt:variant>
    </vt:vector>
  </HeadingPairs>
  <TitlesOfParts>
    <vt:vector size="22" baseType="lpstr">
      <vt:lpstr>Learning Factory Module Overvie</vt:lpstr>
      <vt:lpstr>LISTEN</vt:lpstr>
      <vt:lpstr>Tabelle_zu_Bloom</vt:lpstr>
      <vt:lpstr>BloomBezug</vt:lpstr>
      <vt:lpstr>ErpenbeckBezug</vt:lpstr>
      <vt:lpstr>Bloom&amp;Erpenbeck</vt:lpstr>
      <vt:lpstr>LF_Morphologie</vt:lpstr>
      <vt:lpstr>D1_Geschäftsmodell</vt:lpstr>
      <vt:lpstr>D2_Ziel&amp;Zweck</vt:lpstr>
      <vt:lpstr>D3_Prozess</vt:lpstr>
      <vt:lpstr>D4_Setting</vt:lpstr>
      <vt:lpstr>D5_Produkt</vt:lpstr>
      <vt:lpstr>D6_Didaktik</vt:lpstr>
      <vt:lpstr>D7_Metriken</vt:lpstr>
      <vt:lpstr>D8_Forschung</vt:lpstr>
      <vt:lpstr>FrameworkEntwurf_01</vt:lpstr>
      <vt:lpstr>Modulbewertung</vt:lpstr>
      <vt:lpstr>Modulsteckbrief</vt:lpstr>
      <vt:lpstr>Module_Schwarzer</vt:lpstr>
      <vt:lpstr>Modulsteckbrief_Schwarzer</vt:lpstr>
      <vt:lpstr>Modulbewertung_Schwarzer</vt:lpstr>
      <vt:lpstr>RelevanzListe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Hatice Ulubas</dc:creator>
  <dc:description/>
  <cp:lastModifiedBy>Hatice Ulubas</cp:lastModifiedBy>
  <cp:revision>0</cp:revision>
  <dcterms:created xsi:type="dcterms:W3CDTF">2026-06-20T17:30:27Z</dcterms:created>
  <dcterms:modified xsi:type="dcterms:W3CDTF">2026-06-24T14:30:16Z</dcterms:modified>
  <dc:language>en-US</dc:language>
</cp:coreProperties>
</file>